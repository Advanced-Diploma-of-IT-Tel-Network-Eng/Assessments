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heme/themeOverride1.xml" ContentType="application/vnd.openxmlformats-officedocument.themeOverride+xml"/>
  <Override PartName="/xl/charts/chart5.xml" ContentType="application/vnd.openxmlformats-officedocument.drawingml.chart+xml"/>
  <Override PartName="/xl/theme/themeOverride2.xml" ContentType="application/vnd.openxmlformats-officedocument.themeOverride+xml"/>
  <Override PartName="/xl/charts/chart6.xml" ContentType="application/vnd.openxmlformats-officedocument.drawingml.chart+xml"/>
  <Override PartName="/xl/theme/themeOverride3.xml" ContentType="application/vnd.openxmlformats-officedocument.themeOverrid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EditTask64.png" ContentType="application/octet-stream"/>
  <Override PartName="/customUI/images/AddGanttChart64.png" ContentType="application/octet-stream"/>
  <Override PartName="/customUI/images/AddMilestone64.png" ContentType="application/octet-stream"/>
  <Override PartName="/customUI/images/AddTask64.png" ContentType="application/octet-stream"/>
  <Override PartName="/customUI/images/AddSection64.png" ContentType="application/octet-stream"/>
  <Override PartName="/customUI/images/deleteTask64.png" ContentType="application/octet-stream"/>
</Types>
</file>

<file path=_rels/.rels><?xml version="1.0" encoding="UTF-8" standalone="yes"?>
<Relationships xmlns="http://schemas.openxmlformats.org/package/2006/relationships"><Relationship Id="R7f19f805bfb641b9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 autoCompressPictures="0"/>
  <bookViews>
    <workbookView xWindow="0" yWindow="0" windowWidth="19440" windowHeight="12360" tabRatio="433" activeTab="3"/>
  </bookViews>
  <sheets>
    <sheet name="Help" sheetId="2" r:id="rId1"/>
    <sheet name="DashboardTemplate" sheetId="3" state="veryHidden" r:id="rId2"/>
    <sheet name="Template" sheetId="4" state="veryHidden" r:id="rId3"/>
    <sheet name="Project Plan" sheetId="5" r:id="rId4"/>
  </sheets>
  <functionGroups builtInGroupCount="17"/>
  <definedNames>
    <definedName name="_xlnm.Print_Area" localSheetId="1">DashboardTemplate!$B$1:$G$69</definedName>
    <definedName name="_xlnm.Print_Titles" localSheetId="1">DashboardTemplate!$2:$2</definedName>
  </definedNames>
  <calcPr calcId="144525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Y13" i="3" l="1"/>
  <c r="Z13" i="3" s="1"/>
  <c r="Y12" i="3"/>
  <c r="Z12" i="3" s="1"/>
  <c r="E12" i="3"/>
  <c r="Y11" i="3"/>
  <c r="Z11" i="3" s="1"/>
  <c r="E11" i="3"/>
  <c r="E10" i="3"/>
  <c r="E9" i="3"/>
  <c r="Y8" i="3"/>
  <c r="Y9" i="3" s="1"/>
  <c r="Z9" i="3" s="1"/>
  <c r="E8" i="3"/>
  <c r="Z7" i="3"/>
  <c r="E7" i="3"/>
  <c r="Z6" i="3"/>
  <c r="E6" i="3"/>
  <c r="X3" i="3"/>
  <c r="Y3" i="3" s="1"/>
  <c r="X16" i="3"/>
  <c r="E4" i="3" l="1"/>
  <c r="Z8" i="3"/>
</calcChain>
</file>

<file path=xl/sharedStrings.xml><?xml version="1.0" encoding="utf-8"?>
<sst xmlns="http://schemas.openxmlformats.org/spreadsheetml/2006/main" count="562" uniqueCount="213">
  <si>
    <t xml:space="preserve">This button allows you to insert a task at selection or below a selected task. </t>
  </si>
  <si>
    <t>Add Task</t>
  </si>
  <si>
    <r>
      <rPr>
        <b/>
        <sz val="11"/>
        <color theme="1"/>
        <rFont val="Calibri"/>
        <family val="2"/>
        <scheme val="minor"/>
      </rPr>
      <t>WBS</t>
    </r>
    <r>
      <rPr>
        <sz val="11"/>
        <color theme="1"/>
        <rFont val="Calibri"/>
        <family val="2"/>
        <scheme val="minor"/>
      </rPr>
      <t xml:space="preserve"> - Work Break Structure is automated so you don't have to type in any value. As you type in a task or insert a task the WBS updates accordingly.</t>
    </r>
  </si>
  <si>
    <r>
      <t xml:space="preserve">There are two ways to edit a task. You can simply </t>
    </r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 xml:space="preserve"> in the grid or </t>
    </r>
    <r>
      <rPr>
        <b/>
        <sz val="11"/>
        <color theme="1"/>
        <rFont val="Calibri"/>
        <family val="2"/>
        <scheme val="minor"/>
      </rPr>
      <t>double click</t>
    </r>
    <r>
      <rPr>
        <sz val="11"/>
        <color theme="1"/>
        <rFont val="Calibri"/>
        <family val="2"/>
        <scheme val="minor"/>
      </rPr>
      <t xml:space="preserve"> to view and edit in the form view.</t>
    </r>
  </si>
  <si>
    <r>
      <t xml:space="preserve">A new </t>
    </r>
    <r>
      <rPr>
        <b/>
        <sz val="11"/>
        <color theme="1"/>
        <rFont val="Calibri"/>
        <family val="2"/>
        <scheme val="minor"/>
      </rPr>
      <t>timeline</t>
    </r>
    <r>
      <rPr>
        <sz val="11"/>
        <color theme="1"/>
        <rFont val="Calibri"/>
        <family val="2"/>
        <scheme val="minor"/>
      </rPr>
      <t xml:space="preserve"> is automatically created in the Gantt Chart worksheet.</t>
    </r>
  </si>
  <si>
    <r>
      <t xml:space="preserve">This button inserts a </t>
    </r>
    <r>
      <rPr>
        <b/>
        <sz val="11"/>
        <color theme="1"/>
        <rFont val="Calibri"/>
        <family val="2"/>
        <scheme val="minor"/>
      </rPr>
      <t>Gantt Chart worksheet</t>
    </r>
    <r>
      <rPr>
        <sz val="11"/>
        <color theme="1"/>
        <rFont val="Calibri"/>
        <family val="2"/>
        <scheme val="minor"/>
      </rPr>
      <t xml:space="preserve"> and sets up the stage for you to work on your project.</t>
    </r>
  </si>
  <si>
    <t>Add Gantt Chart</t>
  </si>
  <si>
    <t>CLICK HERE FOR DOCUMENTATION</t>
  </si>
  <si>
    <t>QUICK GUIDE</t>
  </si>
  <si>
    <t xml:space="preserve"> </t>
  </si>
  <si>
    <t>PROJECT BUDGET</t>
  </si>
  <si>
    <t>Graph</t>
  </si>
  <si>
    <t>Actual Cost</t>
  </si>
  <si>
    <t>Total Tasks</t>
  </si>
  <si>
    <t>BaselineBudget</t>
  </si>
  <si>
    <t>End Date</t>
  </si>
  <si>
    <t>EstimatedBudget</t>
  </si>
  <si>
    <t>Start Date</t>
  </si>
  <si>
    <t>$</t>
  </si>
  <si>
    <t>Currency</t>
  </si>
  <si>
    <t>Lead</t>
  </si>
  <si>
    <t>Sum of ED</t>
  </si>
  <si>
    <t>Row Labels</t>
  </si>
  <si>
    <t>Average of PercentageCompleted</t>
  </si>
  <si>
    <t>Sum of ECS</t>
  </si>
  <si>
    <t>Project Status</t>
  </si>
  <si>
    <t>PROJECT SUMMARY</t>
  </si>
  <si>
    <t>PROJECT COMPLETION</t>
  </si>
  <si>
    <t>tType</t>
  </si>
  <si>
    <t>CC10</t>
  </si>
  <si>
    <t>CC9</t>
  </si>
  <si>
    <t>CC8</t>
  </si>
  <si>
    <t>CC7</t>
  </si>
  <si>
    <t>CC6</t>
  </si>
  <si>
    <t>CC5</t>
  </si>
  <si>
    <t>CC4</t>
  </si>
  <si>
    <t>CC3</t>
  </si>
  <si>
    <t>CC2</t>
  </si>
  <si>
    <t>Notes</t>
  </si>
  <si>
    <t>ACS</t>
  </si>
  <si>
    <t>ECS</t>
  </si>
  <si>
    <t>BCS</t>
  </si>
  <si>
    <t>AD</t>
  </si>
  <si>
    <t>PercentageCompleted</t>
  </si>
  <si>
    <t>ED</t>
  </si>
  <si>
    <t>AED</t>
  </si>
  <si>
    <t>EED</t>
  </si>
  <si>
    <t>ASD</t>
  </si>
  <si>
    <t>ESD</t>
  </si>
  <si>
    <t>BD</t>
  </si>
  <si>
    <t>BED</t>
  </si>
  <si>
    <t>BSD</t>
  </si>
  <si>
    <t>TaskLeadCost</t>
  </si>
  <si>
    <t>TaskLead</t>
  </si>
  <si>
    <t>Task</t>
  </si>
  <si>
    <t>WBS</t>
  </si>
  <si>
    <t>Dashboard</t>
  </si>
  <si>
    <t>Projects List</t>
  </si>
  <si>
    <t>SheetName</t>
  </si>
  <si>
    <t xml:space="preserve">Project Summary - </t>
  </si>
  <si>
    <t>Type here to add a new task</t>
  </si>
  <si>
    <t>Type here or double click to edit in form</t>
  </si>
  <si>
    <t>T</t>
  </si>
  <si>
    <t>S</t>
  </si>
  <si>
    <t>F</t>
  </si>
  <si>
    <t>W</t>
  </si>
  <si>
    <t>M</t>
  </si>
  <si>
    <t>% Color</t>
  </si>
  <si>
    <t>Bar Color</t>
  </si>
  <si>
    <t>Cost</t>
  </si>
  <si>
    <t>Baseline Cost</t>
  </si>
  <si>
    <t>Actual Duration</t>
  </si>
  <si>
    <t>Actual End Date</t>
  </si>
  <si>
    <t>Actual Start</t>
  </si>
  <si>
    <t>Duration</t>
  </si>
  <si>
    <t>Finish</t>
  </si>
  <si>
    <t>Start</t>
  </si>
  <si>
    <t>Baseline Duration</t>
  </si>
  <si>
    <t>Baseline End</t>
  </si>
  <si>
    <t>Baseline Start</t>
  </si>
  <si>
    <t>Resource Cost</t>
  </si>
  <si>
    <t>Resource Names</t>
  </si>
  <si>
    <t>Task Name</t>
  </si>
  <si>
    <t>tEndConstrain</t>
  </si>
  <si>
    <t>tStartConstrain</t>
  </si>
  <si>
    <t>tDependents</t>
  </si>
  <si>
    <t>tDependency</t>
  </si>
  <si>
    <t>tID</t>
  </si>
  <si>
    <t>Budget: Estimated:  | Baseline:  | Actual: 0</t>
  </si>
  <si>
    <t>Mar-16            [W11]</t>
  </si>
  <si>
    <t>Feb-16            [W10]</t>
  </si>
  <si>
    <t>Feb-16            [W9]</t>
  </si>
  <si>
    <t>Feb-16            [W8]</t>
  </si>
  <si>
    <t>Feb-16            [W7]</t>
  </si>
  <si>
    <t>Feb-16            [W6]</t>
  </si>
  <si>
    <t>Jan-16            [W5]</t>
  </si>
  <si>
    <t>Jan-16            [W4]</t>
  </si>
  <si>
    <t>Project Lead: sfsfsfsfsfssdfsf</t>
  </si>
  <si>
    <t>Project Name</t>
  </si>
  <si>
    <t>DDD DD\-MMM\-YY</t>
  </si>
  <si>
    <t>D</t>
  </si>
  <si>
    <t>System</t>
  </si>
  <si>
    <t>BarTextIsUnderline</t>
  </si>
  <si>
    <t>BarTextIsItalic</t>
  </si>
  <si>
    <t>BarTextIsBold</t>
  </si>
  <si>
    <t>BarTextDataColumnName</t>
  </si>
  <si>
    <t>BarTextFontSize</t>
  </si>
  <si>
    <t>BarTextCharacters</t>
  </si>
  <si>
    <t>BarTextColor</t>
  </si>
  <si>
    <t>EnableBarText</t>
  </si>
  <si>
    <t>vidud</t>
  </si>
  <si>
    <t>chirun</t>
  </si>
  <si>
    <t>peru</t>
  </si>
  <si>
    <t>ConnectorColor</t>
  </si>
  <si>
    <t>ShowDependencyConnector</t>
  </si>
  <si>
    <t>ShowTodayLines</t>
  </si>
  <si>
    <t>DateFormat</t>
  </si>
  <si>
    <t>ShowGrouping</t>
  </si>
  <si>
    <t>TimelineWeeks</t>
  </si>
  <si>
    <t>LiType</t>
  </si>
  <si>
    <t>DB</t>
  </si>
  <si>
    <t>EC</t>
  </si>
  <si>
    <t>CM</t>
  </si>
  <si>
    <t>TaskRowHeight</t>
  </si>
  <si>
    <t>LV</t>
  </si>
  <si>
    <t>WeekStartDay</t>
  </si>
  <si>
    <t>WorkdaySat</t>
  </si>
  <si>
    <t>WorkdayFri</t>
  </si>
  <si>
    <t>WorkdayThu</t>
  </si>
  <si>
    <t>WorkdayWed</t>
  </si>
  <si>
    <t>WorkdayTue</t>
  </si>
  <si>
    <t>WorkdayMon</t>
  </si>
  <si>
    <t>WorkdaySun</t>
  </si>
  <si>
    <t>ShowLate</t>
  </si>
  <si>
    <t>ShowPlanned</t>
  </si>
  <si>
    <t>ShowInProgress</t>
  </si>
  <si>
    <t>ShowCompleted</t>
  </si>
  <si>
    <t>CurrentView</t>
  </si>
  <si>
    <t>ScrollPosition</t>
  </si>
  <si>
    <t>ResourceCost</t>
  </si>
  <si>
    <t>ResourceName</t>
  </si>
  <si>
    <t>HolidayName</t>
  </si>
  <si>
    <t>HolidayDate</t>
  </si>
  <si>
    <t>CurrencySymbol</t>
  </si>
  <si>
    <t>ActualTimelineColor</t>
  </si>
  <si>
    <t>BaselineTimelineColor</t>
  </si>
  <si>
    <t>Mcolor</t>
  </si>
  <si>
    <t>EstimatedTimelineColor</t>
  </si>
  <si>
    <t>PercentageColor</t>
  </si>
  <si>
    <t>TotalACS</t>
  </si>
  <si>
    <t>ActualCosts</t>
  </si>
  <si>
    <t>GanttSheet</t>
  </si>
  <si>
    <t>TimelineMaxEnd</t>
  </si>
  <si>
    <t>TimelineEnd</t>
  </si>
  <si>
    <t>TimelineStart</t>
  </si>
  <si>
    <t>TPColor</t>
  </si>
  <si>
    <t>TColor</t>
  </si>
  <si>
    <t>Completed</t>
  </si>
  <si>
    <t>In-Progress</t>
  </si>
  <si>
    <t>Planned</t>
  </si>
  <si>
    <t>Overdue</t>
  </si>
  <si>
    <t>TASKS - STATUS</t>
  </si>
  <si>
    <t>TASKS - COSTS</t>
  </si>
  <si>
    <t>ACTUAL</t>
  </si>
  <si>
    <t>ESTIMATED</t>
  </si>
  <si>
    <t>BASELINE</t>
  </si>
  <si>
    <t>Sample</t>
  </si>
  <si>
    <t>(blank)</t>
  </si>
  <si>
    <t>TodayLineColor</t>
  </si>
  <si>
    <t>BordersColor</t>
  </si>
  <si>
    <t>liky</t>
  </si>
  <si>
    <t>0</t>
  </si>
  <si>
    <t>1</t>
  </si>
  <si>
    <t>Lead Generation</t>
  </si>
  <si>
    <t>31,726</t>
  </si>
  <si>
    <t>MP</t>
  </si>
  <si>
    <t>Percent Complete</t>
  </si>
  <si>
    <t>(All)</t>
  </si>
  <si>
    <t>duli</t>
  </si>
  <si>
    <t>WeekNumType</t>
  </si>
  <si>
    <t>ISO</t>
  </si>
  <si>
    <t>Baseline Color</t>
  </si>
  <si>
    <t>Actuals Color</t>
  </si>
  <si>
    <t>BLColor</t>
  </si>
  <si>
    <t>ACColor</t>
  </si>
  <si>
    <t>ShowBaselineBar</t>
  </si>
  <si>
    <t>ShowActualBar</t>
  </si>
  <si>
    <t>CC1</t>
  </si>
  <si>
    <t>ENABLE MACROS TO BEGIN</t>
  </si>
  <si>
    <t>PercentageEntryMode</t>
  </si>
  <si>
    <t>PercentageCalculationType</t>
  </si>
  <si>
    <t>manual</t>
  </si>
  <si>
    <t>simple</t>
  </si>
  <si>
    <t>For Windows Excel versions 2007 - 2016 and MAC Excel Version 2016 v15.30 and above</t>
  </si>
  <si>
    <t>Click here for help to Enable Macros</t>
  </si>
  <si>
    <t>2.49.8.2</t>
  </si>
  <si>
    <t>T42VP</t>
  </si>
  <si>
    <t>TR7){4RI</t>
  </si>
  <si>
    <t>$TA;Bd9fz )I-snug$:YHs</t>
  </si>
  <si>
    <t>Gantt Excel</t>
  </si>
  <si>
    <t>N4fL3sgyYf-Gm2xds9E-auidsgyYf-6dG7b72mev</t>
  </si>
  <si>
    <t>dzf!Wpfp^mrxpi]vm(wjy"h{f</t>
  </si>
  <si>
    <t>Project Name - Double Click to Edit</t>
  </si>
  <si>
    <t>Project Lead: Double Click to Edit</t>
  </si>
  <si>
    <r>
      <t>Budget:</t>
    </r>
    <r>
      <rPr>
        <sz val="10"/>
        <color theme="0" tint="-0.499984740745262"/>
        <rFont val="Calibri"/>
        <family val="2"/>
        <scheme val="minor"/>
      </rPr>
      <t xml:space="preserve"> Estimated: $0 | Baseline: $0 | </t>
    </r>
    <r>
      <rPr>
        <b/>
        <sz val="10"/>
        <color theme="0" tint="-0.499984740745262"/>
        <rFont val="Calibri"/>
        <family val="2"/>
        <scheme val="minor"/>
      </rPr>
      <t>Cost:</t>
    </r>
    <r>
      <rPr>
        <sz val="10"/>
        <color theme="0" tint="-0.499984740745262"/>
        <rFont val="Calibri"/>
        <family val="2"/>
        <scheme val="minor"/>
      </rPr>
      <t xml:space="preserve"> Estimated: $0 | Baseline: $0 | Actual: $0</t>
    </r>
  </si>
  <si>
    <t>Jul-17      [W29]</t>
  </si>
  <si>
    <t>Jul-17      [W30]</t>
  </si>
  <si>
    <t>Jul-17      [W31]</t>
  </si>
  <si>
    <t>Aug-17      [W32]</t>
  </si>
  <si>
    <t>Aug-17      [W33]</t>
  </si>
  <si>
    <t>Aug-17      [W34]</t>
  </si>
  <si>
    <t>Aug-17      [W35]</t>
  </si>
  <si>
    <t>Sep-17      [W36]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</si>
</sst>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dd\ dd/mmm/yy"/>
    <numFmt numFmtId="165" formatCode="&quot;Ft&quot;\ #,##0"/>
    <numFmt numFmtId="166" formatCode="ddd\ dd\-mmm\-yy"/>
    <numFmt numFmtId="167" formatCode="dd/mmm/yyyy"/>
    <numFmt numFmtId="168" formatCode="&quot;$&quot;\ #,##0"/>
  </numFmts>
  <fonts count="3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24"/>
      <color rgb="FF00B0F0"/>
      <name val="Calibri"/>
      <family val="2"/>
      <scheme val="minor"/>
    </font>
    <font>
      <sz val="8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7"/>
      <color rgb="FF00B0F0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0"/>
      <name val="Calibri"/>
      <family val="2"/>
      <scheme val="minor"/>
    </font>
    <font>
      <sz val="9"/>
      <name val="Arial"/>
      <family val="2"/>
    </font>
    <font>
      <i/>
      <sz val="10"/>
      <color theme="1" tint="0.34998626667073579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b/>
      <sz val="9"/>
      <color theme="3"/>
      <name val="Calibri"/>
      <family val="2"/>
      <scheme val="minor"/>
    </font>
    <font>
      <sz val="8"/>
      <name val="Arial"/>
      <family val="2"/>
    </font>
    <font>
      <sz val="10"/>
      <color theme="0" tint="-0.499984740745262"/>
      <name val="Calibri"/>
      <family val="2"/>
      <scheme val="minor"/>
    </font>
    <font>
      <sz val="10"/>
      <color theme="3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6"/>
      <color theme="4" tint="-0.499984740745262"/>
      <name val="Calibri"/>
      <family val="2"/>
      <scheme val="minor"/>
    </font>
    <font>
      <sz val="11"/>
      <color rgb="FF000000"/>
      <name val="Calibri"/>
      <family val="2"/>
    </font>
    <font>
      <b/>
      <sz val="24"/>
      <color rgb="FFFF0000"/>
      <name val="Calibri"/>
      <family val="2"/>
      <scheme val="minor"/>
    </font>
    <font>
      <b/>
      <u/>
      <sz val="10"/>
      <color theme="10"/>
      <name val="Calibri"/>
      <family val="2"/>
      <scheme val="minor"/>
    </font>
    <font>
      <b/>
      <u/>
      <sz val="9"/>
      <color theme="10"/>
      <name val="Calibri"/>
      <family val="2"/>
      <scheme val="minor"/>
    </font>
    <font>
      <sz val="9"/>
      <color rgb="FF808080"/>
      <name val="Calibri"/>
      <family val="2"/>
      <scheme val="minor"/>
    </font>
    <font>
      <sz val="10"/>
      <color rgb="FF80808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6F020"/>
        <bgColor indexed="64"/>
      </patternFill>
    </fill>
    <fill>
      <patternFill patternType="solid">
        <fgColor rgb="FFD0F789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 style="thin">
        <color rgb="FFCCFFFF"/>
      </top>
      <bottom style="thin">
        <color rgb="FFCCFFFF"/>
      </bottom>
      <diagonal/>
    </border>
  </borders>
  <cellStyleXfs count="199">
    <xf numFmtId="0" fontId="0" fillId="0" borderId="0"/>
    <xf numFmtId="0" fontId="2" fillId="0" borderId="1" applyNumberFormat="0" applyFill="0" applyAlignment="0" applyProtection="0"/>
    <xf numFmtId="0" fontId="4" fillId="0" borderId="0" applyNumberForma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234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 applyBorder="1" applyAlignment="1">
      <alignment vertical="top" wrapText="1"/>
    </xf>
    <xf numFmtId="0" fontId="0" fillId="4" borderId="0" xfId="0" applyFill="1" applyBorder="1" applyAlignment="1">
      <alignment horizontal="center" vertical="top" wrapText="1"/>
    </xf>
    <xf numFmtId="0" fontId="0" fillId="5" borderId="0" xfId="0" applyFill="1" applyAlignment="1"/>
    <xf numFmtId="0" fontId="5" fillId="5" borderId="0" xfId="2" applyFont="1" applyFill="1" applyAlignment="1" applyProtection="1">
      <protection locked="0"/>
    </xf>
    <xf numFmtId="0" fontId="7" fillId="5" borderId="0" xfId="0" applyFont="1" applyFill="1" applyAlignment="1"/>
    <xf numFmtId="0" fontId="8" fillId="5" borderId="0" xfId="0" applyFont="1" applyFill="1" applyAlignment="1"/>
    <xf numFmtId="0" fontId="0" fillId="0" borderId="0" xfId="0" applyProtection="1">
      <protection locked="0"/>
    </xf>
    <xf numFmtId="0" fontId="0" fillId="0" borderId="0" xfId="0" applyAlignment="1" applyProtection="1">
      <protection locked="0"/>
    </xf>
    <xf numFmtId="0" fontId="0" fillId="0" borderId="0" xfId="0" applyNumberFormat="1" applyAlignment="1" applyProtection="1">
      <protection locked="0"/>
    </xf>
    <xf numFmtId="9" fontId="0" fillId="0" borderId="0" xfId="0" applyNumberFormat="1" applyAlignment="1" applyProtection="1">
      <protection locked="0"/>
    </xf>
    <xf numFmtId="0" fontId="0" fillId="0" borderId="0" xfId="0" applyBorder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3" fontId="11" fillId="0" borderId="0" xfId="0" applyNumberFormat="1" applyFont="1" applyBorder="1"/>
    <xf numFmtId="3" fontId="12" fillId="0" borderId="3" xfId="0" applyNumberFormat="1" applyFont="1" applyBorder="1"/>
    <xf numFmtId="0" fontId="10" fillId="0" borderId="3" xfId="0" applyFont="1" applyBorder="1"/>
    <xf numFmtId="3" fontId="10" fillId="0" borderId="0" xfId="0" applyNumberFormat="1" applyFont="1" applyBorder="1"/>
    <xf numFmtId="3" fontId="10" fillId="0" borderId="3" xfId="0" applyNumberFormat="1" applyFont="1" applyBorder="1"/>
    <xf numFmtId="9" fontId="0" fillId="0" borderId="0" xfId="0" applyNumberFormat="1" applyBorder="1" applyAlignment="1" applyProtection="1">
      <alignment horizontal="right"/>
      <protection locked="0"/>
    </xf>
    <xf numFmtId="9" fontId="10" fillId="0" borderId="0" xfId="3" applyFont="1" applyFill="1" applyBorder="1" applyAlignment="1" applyProtection="1">
      <alignment horizontal="center" vertical="top"/>
      <protection locked="0"/>
    </xf>
    <xf numFmtId="9" fontId="0" fillId="0" borderId="0" xfId="0" applyNumberFormat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NumberFormat="1" applyProtection="1">
      <protection locked="0"/>
    </xf>
    <xf numFmtId="3" fontId="0" fillId="0" borderId="0" xfId="0" applyNumberFormat="1" applyProtection="1">
      <protection locked="0"/>
    </xf>
    <xf numFmtId="15" fontId="10" fillId="0" borderId="0" xfId="0" applyNumberFormat="1" applyFont="1" applyBorder="1"/>
    <xf numFmtId="15" fontId="10" fillId="0" borderId="3" xfId="0" applyNumberFormat="1" applyFont="1" applyBorder="1"/>
    <xf numFmtId="0" fontId="10" fillId="0" borderId="0" xfId="0" applyFont="1" applyBorder="1" applyAlignment="1">
      <alignment horizontal="right"/>
    </xf>
    <xf numFmtId="0" fontId="10" fillId="0" borderId="3" xfId="0" applyFont="1" applyBorder="1" applyAlignment="1">
      <alignment horizontal="right"/>
    </xf>
    <xf numFmtId="0" fontId="0" fillId="0" borderId="0" xfId="0" pivotButton="1" applyProtection="1">
      <protection locked="0"/>
    </xf>
    <xf numFmtId="0" fontId="12" fillId="0" borderId="0" xfId="4" applyFont="1" applyFill="1" applyBorder="1" applyAlignment="1" applyProtection="1">
      <alignment vertical="top"/>
      <protection locked="0"/>
    </xf>
    <xf numFmtId="0" fontId="12" fillId="0" borderId="0" xfId="4" quotePrefix="1" applyNumberFormat="1" applyFont="1" applyFill="1" applyBorder="1" applyAlignment="1" applyProtection="1">
      <alignment horizontal="right" vertical="top"/>
      <protection locked="0"/>
    </xf>
    <xf numFmtId="165" fontId="10" fillId="0" borderId="0" xfId="3" applyNumberFormat="1" applyFont="1" applyFill="1" applyBorder="1" applyAlignment="1" applyProtection="1">
      <alignment horizontal="center" vertical="top"/>
    </xf>
    <xf numFmtId="0" fontId="10" fillId="0" borderId="0" xfId="3" applyNumberFormat="1" applyFont="1" applyFill="1" applyBorder="1" applyAlignment="1" applyProtection="1">
      <alignment horizontal="center" vertical="top"/>
      <protection locked="0"/>
    </xf>
    <xf numFmtId="9" fontId="12" fillId="0" borderId="0" xfId="4" applyNumberFormat="1" applyFont="1" applyFill="1" applyBorder="1" applyAlignment="1" applyProtection="1">
      <alignment horizontal="right" vertical="top"/>
    </xf>
    <xf numFmtId="165" fontId="12" fillId="0" borderId="0" xfId="4" applyNumberFormat="1" applyFont="1" applyFill="1" applyBorder="1" applyAlignment="1" applyProtection="1">
      <alignment vertical="top"/>
    </xf>
    <xf numFmtId="0" fontId="12" fillId="0" borderId="0" xfId="4" applyFont="1" applyFill="1" applyBorder="1" applyAlignment="1" applyProtection="1">
      <alignment vertical="top"/>
    </xf>
    <xf numFmtId="49" fontId="12" fillId="0" borderId="0" xfId="4" applyNumberFormat="1" applyFont="1" applyFill="1" applyBorder="1" applyAlignment="1" applyProtection="1">
      <alignment horizontal="center" vertical="top"/>
    </xf>
    <xf numFmtId="0" fontId="0" fillId="0" borderId="0" xfId="0" applyBorder="1" applyAlignment="1"/>
    <xf numFmtId="0" fontId="10" fillId="0" borderId="0" xfId="4" applyFont="1" applyAlignment="1" applyProtection="1">
      <alignment horizontal="center" vertical="top"/>
      <protection locked="0"/>
    </xf>
    <xf numFmtId="0" fontId="10" fillId="0" borderId="0" xfId="4" applyNumberFormat="1" applyFont="1" applyFill="1" applyBorder="1" applyAlignment="1" applyProtection="1">
      <alignment horizontal="center" vertical="top"/>
      <protection locked="0"/>
    </xf>
    <xf numFmtId="0" fontId="10" fillId="0" borderId="0" xfId="4" applyFont="1" applyFill="1" applyBorder="1" applyAlignment="1" applyProtection="1">
      <alignment horizontal="center" vertical="top"/>
      <protection locked="0"/>
    </xf>
    <xf numFmtId="0" fontId="10" fillId="0" borderId="0" xfId="4" applyFont="1" applyBorder="1" applyAlignment="1" applyProtection="1">
      <alignment horizontal="center" vertical="top"/>
      <protection locked="0"/>
    </xf>
    <xf numFmtId="0" fontId="12" fillId="0" borderId="0" xfId="4" applyFont="1" applyBorder="1" applyAlignment="1" applyProtection="1">
      <alignment vertical="top"/>
      <protection locked="0"/>
    </xf>
    <xf numFmtId="166" fontId="12" fillId="0" borderId="0" xfId="4" applyNumberFormat="1" applyFont="1" applyBorder="1" applyAlignment="1" applyProtection="1">
      <alignment vertical="top"/>
      <protection locked="0"/>
    </xf>
    <xf numFmtId="49" fontId="12" fillId="0" borderId="0" xfId="4" applyNumberFormat="1" applyFont="1" applyFill="1" applyBorder="1" applyAlignment="1" applyProtection="1">
      <alignment horizontal="right" vertical="top"/>
      <protection locked="0"/>
    </xf>
    <xf numFmtId="0" fontId="9" fillId="0" borderId="0" xfId="4" applyNumberFormat="1" applyFill="1" applyBorder="1" applyAlignment="1" applyProtection="1"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14" fillId="3" borderId="0" xfId="0" applyFont="1" applyFill="1" applyAlignment="1">
      <alignment vertical="center"/>
    </xf>
    <xf numFmtId="0" fontId="14" fillId="3" borderId="0" xfId="0" applyFont="1" applyFill="1" applyAlignment="1" applyProtection="1">
      <alignment horizontal="left" vertical="center"/>
      <protection locked="0"/>
    </xf>
    <xf numFmtId="0" fontId="0" fillId="5" borderId="0" xfId="0" applyFill="1"/>
    <xf numFmtId="0" fontId="9" fillId="0" borderId="0" xfId="4" applyFill="1" applyBorder="1" applyProtection="1"/>
    <xf numFmtId="0" fontId="9" fillId="0" borderId="0" xfId="4" applyFont="1" applyFill="1" applyBorder="1" applyProtection="1"/>
    <xf numFmtId="0" fontId="12" fillId="0" borderId="0" xfId="4" applyFont="1" applyProtection="1"/>
    <xf numFmtId="0" fontId="10" fillId="0" borderId="0" xfId="4" applyFont="1" applyAlignment="1" applyProtection="1">
      <alignment horizontal="center" vertical="top" wrapText="1"/>
      <protection locked="0"/>
    </xf>
    <xf numFmtId="3" fontId="12" fillId="0" borderId="0" xfId="4" applyNumberFormat="1" applyFont="1" applyAlignment="1" applyProtection="1">
      <alignment vertical="top" wrapText="1"/>
      <protection locked="0"/>
    </xf>
    <xf numFmtId="164" fontId="12" fillId="0" borderId="0" xfId="4" applyNumberFormat="1" applyFont="1" applyAlignment="1" applyProtection="1">
      <alignment vertical="top" wrapText="1"/>
      <protection locked="0"/>
    </xf>
    <xf numFmtId="0" fontId="12" fillId="0" borderId="0" xfId="4" applyFont="1" applyAlignment="1" applyProtection="1">
      <alignment vertical="top" wrapText="1"/>
      <protection locked="0"/>
    </xf>
    <xf numFmtId="0" fontId="12" fillId="0" borderId="0" xfId="4" applyNumberFormat="1" applyFont="1" applyFill="1" applyBorder="1" applyAlignment="1" applyProtection="1">
      <alignment horizontal="left" vertical="top" wrapText="1"/>
      <protection locked="0"/>
    </xf>
    <xf numFmtId="0" fontId="9" fillId="0" borderId="0" xfId="4" applyProtection="1"/>
    <xf numFmtId="0" fontId="10" fillId="0" borderId="0" xfId="0" applyFont="1" applyAlignment="1" applyProtection="1">
      <alignment vertical="top" wrapText="1"/>
      <protection locked="0"/>
    </xf>
    <xf numFmtId="0" fontId="12" fillId="0" borderId="0" xfId="0" applyFont="1" applyAlignment="1" applyProtection="1">
      <alignment vertical="top" wrapText="1"/>
      <protection locked="0"/>
    </xf>
    <xf numFmtId="0" fontId="12" fillId="0" borderId="0" xfId="4" applyFont="1" applyAlignment="1" applyProtection="1">
      <alignment horizontal="left" indent="1"/>
    </xf>
    <xf numFmtId="0" fontId="12" fillId="0" borderId="0" xfId="4" applyFont="1" applyFill="1" applyBorder="1" applyAlignment="1" applyProtection="1">
      <alignment horizontal="center" vertical="center"/>
    </xf>
    <xf numFmtId="9" fontId="10" fillId="0" borderId="0" xfId="3" applyFont="1" applyFill="1" applyBorder="1" applyAlignment="1" applyProtection="1">
      <alignment horizontal="center" vertical="top" wrapText="1"/>
      <protection locked="0"/>
    </xf>
    <xf numFmtId="3" fontId="15" fillId="0" borderId="0" xfId="4" applyNumberFormat="1" applyFont="1" applyFill="1" applyBorder="1" applyAlignment="1" applyProtection="1">
      <alignment horizontal="left" vertical="top" wrapText="1"/>
      <protection locked="0"/>
    </xf>
    <xf numFmtId="164" fontId="15" fillId="0" borderId="0" xfId="4" applyNumberFormat="1" applyFont="1" applyFill="1" applyBorder="1" applyAlignment="1" applyProtection="1">
      <alignment horizontal="left" vertical="top" wrapText="1"/>
      <protection locked="0"/>
    </xf>
    <xf numFmtId="164" fontId="15" fillId="0" borderId="0" xfId="4" applyNumberFormat="1" applyFont="1" applyFill="1" applyBorder="1" applyAlignment="1" applyProtection="1">
      <alignment vertical="top" wrapText="1"/>
      <protection locked="0"/>
    </xf>
    <xf numFmtId="0" fontId="15" fillId="0" borderId="0" xfId="4" applyFont="1" applyFill="1" applyBorder="1" applyAlignment="1" applyProtection="1">
      <alignment vertical="top" wrapText="1"/>
      <protection locked="0"/>
    </xf>
    <xf numFmtId="0" fontId="16" fillId="0" borderId="0" xfId="4" applyFont="1" applyFill="1" applyBorder="1" applyProtection="1"/>
    <xf numFmtId="3" fontId="12" fillId="0" borderId="0" xfId="4" applyNumberFormat="1" applyFont="1" applyFill="1" applyBorder="1" applyAlignment="1" applyProtection="1">
      <alignment horizontal="right" vertical="top" wrapText="1"/>
      <protection locked="0"/>
    </xf>
    <xf numFmtId="164" fontId="12" fillId="0" borderId="0" xfId="4" applyNumberFormat="1" applyFont="1" applyFill="1" applyBorder="1" applyAlignment="1" applyProtection="1">
      <alignment horizontal="right" vertical="top" wrapText="1"/>
      <protection locked="0"/>
    </xf>
    <xf numFmtId="164" fontId="12" fillId="0" borderId="0" xfId="4" applyNumberFormat="1" applyFont="1" applyFill="1" applyBorder="1" applyAlignment="1" applyProtection="1">
      <alignment vertical="top" wrapText="1"/>
      <protection locked="0"/>
    </xf>
    <xf numFmtId="0" fontId="12" fillId="0" borderId="0" xfId="4" applyFont="1" applyFill="1" applyBorder="1" applyAlignment="1" applyProtection="1">
      <alignment vertical="top" wrapText="1"/>
      <protection locked="0"/>
    </xf>
    <xf numFmtId="0" fontId="17" fillId="0" borderId="0" xfId="4" applyFont="1" applyFill="1" applyBorder="1" applyAlignment="1" applyProtection="1">
      <alignment horizontal="left" vertical="top" wrapText="1"/>
      <protection locked="0"/>
    </xf>
    <xf numFmtId="15" fontId="0" fillId="0" borderId="0" xfId="0" applyNumberFormat="1"/>
    <xf numFmtId="0" fontId="9" fillId="0" borderId="0" xfId="4" applyFill="1" applyBorder="1" applyAlignment="1" applyProtection="1"/>
    <xf numFmtId="0" fontId="18" fillId="8" borderId="6" xfId="4" applyNumberFormat="1" applyFont="1" applyFill="1" applyBorder="1" applyAlignment="1" applyProtection="1">
      <alignment horizontal="center" vertical="center" shrinkToFit="1"/>
      <protection hidden="1"/>
    </xf>
    <xf numFmtId="0" fontId="18" fillId="0" borderId="6" xfId="4" applyNumberFormat="1" applyFont="1" applyFill="1" applyBorder="1" applyAlignment="1" applyProtection="1">
      <alignment horizontal="center" vertical="center" shrinkToFit="1"/>
      <protection hidden="1"/>
    </xf>
    <xf numFmtId="9" fontId="19" fillId="9" borderId="7" xfId="4" applyNumberFormat="1" applyFont="1" applyFill="1" applyBorder="1" applyAlignment="1" applyProtection="1">
      <alignment horizontal="center" vertical="top" wrapText="1"/>
      <protection locked="0"/>
    </xf>
    <xf numFmtId="0" fontId="19" fillId="9" borderId="8" xfId="4" applyNumberFormat="1" applyFont="1" applyFill="1" applyBorder="1" applyAlignment="1" applyProtection="1">
      <alignment horizontal="center" vertical="top" wrapText="1"/>
      <protection locked="0"/>
    </xf>
    <xf numFmtId="166" fontId="19" fillId="9" borderId="8" xfId="4" applyNumberFormat="1" applyFont="1" applyFill="1" applyBorder="1" applyAlignment="1" applyProtection="1">
      <alignment horizontal="center" vertical="top" wrapText="1"/>
      <protection locked="0"/>
    </xf>
    <xf numFmtId="166" fontId="19" fillId="9" borderId="7" xfId="4" applyNumberFormat="1" applyFont="1" applyFill="1" applyBorder="1" applyAlignment="1" applyProtection="1">
      <alignment horizontal="center" vertical="top" wrapText="1"/>
      <protection locked="0"/>
    </xf>
    <xf numFmtId="0" fontId="19" fillId="9" borderId="7" xfId="4" applyFont="1" applyFill="1" applyBorder="1" applyAlignment="1" applyProtection="1">
      <alignment horizontal="center" vertical="top" wrapText="1"/>
      <protection locked="0"/>
    </xf>
    <xf numFmtId="0" fontId="19" fillId="9" borderId="7" xfId="4" applyFont="1" applyFill="1" applyBorder="1" applyAlignment="1" applyProtection="1">
      <alignment horizontal="left" vertical="top" wrapText="1"/>
      <protection locked="0"/>
    </xf>
    <xf numFmtId="0" fontId="19" fillId="9" borderId="7" xfId="4" applyFont="1" applyFill="1" applyBorder="1" applyAlignment="1" applyProtection="1">
      <alignment horizontal="left" vertical="top" wrapText="1"/>
    </xf>
    <xf numFmtId="0" fontId="21" fillId="0" borderId="0" xfId="0" applyFont="1" applyBorder="1" applyAlignment="1" applyProtection="1">
      <protection locked="0"/>
    </xf>
    <xf numFmtId="0" fontId="21" fillId="0" borderId="9" xfId="0" applyNumberFormat="1" applyFont="1" applyBorder="1" applyAlignment="1" applyProtection="1">
      <protection locked="0"/>
    </xf>
    <xf numFmtId="0" fontId="21" fillId="0" borderId="9" xfId="0" applyFont="1" applyBorder="1" applyAlignment="1" applyProtection="1">
      <protection locked="0"/>
    </xf>
    <xf numFmtId="0" fontId="21" fillId="0" borderId="9" xfId="0" applyFont="1" applyBorder="1" applyAlignment="1" applyProtection="1">
      <alignment horizontal="left"/>
    </xf>
    <xf numFmtId="0" fontId="22" fillId="10" borderId="0" xfId="4" applyNumberFormat="1" applyFont="1" applyFill="1" applyBorder="1" applyAlignment="1" applyProtection="1">
      <alignment horizontal="left" vertical="center"/>
      <protection hidden="1"/>
    </xf>
    <xf numFmtId="0" fontId="22" fillId="11" borderId="0" xfId="4" applyNumberFormat="1" applyFont="1" applyFill="1" applyBorder="1" applyAlignment="1" applyProtection="1">
      <alignment horizontal="left" vertical="center"/>
      <protection hidden="1"/>
    </xf>
    <xf numFmtId="0" fontId="22" fillId="10" borderId="0" xfId="4" quotePrefix="1" applyNumberFormat="1" applyFont="1" applyFill="1" applyBorder="1" applyAlignment="1" applyProtection="1">
      <alignment horizontal="left" vertical="center"/>
      <protection hidden="1"/>
    </xf>
    <xf numFmtId="0" fontId="1" fillId="3" borderId="0" xfId="0" applyFont="1" applyFill="1" applyProtection="1">
      <protection locked="0"/>
    </xf>
    <xf numFmtId="0" fontId="23" fillId="3" borderId="0" xfId="0" applyNumberFormat="1" applyFont="1" applyFill="1" applyProtection="1">
      <protection locked="0"/>
    </xf>
    <xf numFmtId="0" fontId="23" fillId="3" borderId="0" xfId="0" applyFont="1" applyFill="1" applyProtection="1">
      <protection locked="0"/>
    </xf>
    <xf numFmtId="0" fontId="24" fillId="3" borderId="0" xfId="4" applyFont="1" applyFill="1" applyAlignment="1" applyProtection="1">
      <protection locked="0"/>
    </xf>
    <xf numFmtId="0" fontId="24" fillId="3" borderId="0" xfId="4" applyFont="1" applyFill="1" applyAlignment="1" applyProtection="1"/>
    <xf numFmtId="0" fontId="21" fillId="3" borderId="0" xfId="4" applyFont="1" applyFill="1" applyAlignment="1" applyProtection="1">
      <alignment vertical="center"/>
    </xf>
    <xf numFmtId="0" fontId="21" fillId="3" borderId="0" xfId="4" applyFont="1" applyFill="1" applyAlignment="1" applyProtection="1">
      <alignment horizontal="left" vertical="center"/>
    </xf>
    <xf numFmtId="167" fontId="25" fillId="12" borderId="0" xfId="4" applyNumberFormat="1" applyFont="1" applyFill="1" applyBorder="1" applyAlignment="1" applyProtection="1">
      <alignment horizontal="center" vertical="center"/>
      <protection hidden="1"/>
    </xf>
    <xf numFmtId="0" fontId="26" fillId="12" borderId="0" xfId="4" applyFont="1" applyFill="1" applyAlignment="1" applyProtection="1">
      <alignment vertical="center"/>
      <protection locked="0"/>
    </xf>
    <xf numFmtId="0" fontId="26" fillId="12" borderId="0" xfId="4" applyFont="1" applyFill="1" applyAlignment="1" applyProtection="1">
      <alignment horizontal="right" vertical="center"/>
      <protection locked="0"/>
    </xf>
    <xf numFmtId="0" fontId="26" fillId="12" borderId="0" xfId="4" applyNumberFormat="1" applyFont="1" applyFill="1" applyAlignment="1" applyProtection="1">
      <alignment vertical="center"/>
      <protection locked="0"/>
    </xf>
    <xf numFmtId="0" fontId="26" fillId="12" borderId="0" xfId="4" applyFont="1" applyFill="1" applyAlignment="1" applyProtection="1">
      <alignment vertical="center"/>
    </xf>
    <xf numFmtId="0" fontId="26" fillId="12" borderId="0" xfId="4" applyFont="1" applyFill="1" applyAlignment="1" applyProtection="1">
      <alignment horizontal="left" vertical="center"/>
    </xf>
    <xf numFmtId="0" fontId="10" fillId="0" borderId="0" xfId="4" applyFont="1" applyAlignment="1" applyProtection="1">
      <alignment horizontal="center" vertical="top"/>
    </xf>
    <xf numFmtId="0" fontId="12" fillId="0" borderId="0" xfId="4" applyNumberFormat="1" applyFont="1" applyAlignment="1" applyProtection="1">
      <alignment vertical="top"/>
    </xf>
    <xf numFmtId="166" fontId="12" fillId="0" borderId="0" xfId="4" applyNumberFormat="1" applyFont="1" applyAlignment="1" applyProtection="1">
      <alignment vertical="top"/>
    </xf>
    <xf numFmtId="0" fontId="12" fillId="0" borderId="0" xfId="4" applyFont="1" applyAlignment="1" applyProtection="1">
      <alignment vertical="top"/>
    </xf>
    <xf numFmtId="0" fontId="12" fillId="0" borderId="0" xfId="4" applyFont="1" applyAlignment="1" applyProtection="1">
      <alignment vertical="top" wrapText="1"/>
    </xf>
    <xf numFmtId="0" fontId="12" fillId="0" borderId="0" xfId="4" applyNumberFormat="1" applyFont="1" applyFill="1" applyBorder="1" applyAlignment="1" applyProtection="1">
      <alignment horizontal="left" vertical="top"/>
    </xf>
    <xf numFmtId="15" fontId="9" fillId="0" borderId="0" xfId="4" applyNumberFormat="1" applyFill="1" applyBorder="1" applyProtection="1"/>
    <xf numFmtId="49" fontId="9" fillId="0" borderId="0" xfId="4" applyNumberFormat="1" applyFill="1" applyBorder="1" applyProtection="1"/>
    <xf numFmtId="0" fontId="9" fillId="0" borderId="0" xfId="4" applyFill="1" applyBorder="1" applyProtection="1">
      <protection locked="0"/>
    </xf>
    <xf numFmtId="4" fontId="9" fillId="0" borderId="0" xfId="4" applyNumberFormat="1" applyFill="1" applyBorder="1" applyProtection="1">
      <protection locked="0"/>
    </xf>
    <xf numFmtId="0" fontId="9" fillId="0" borderId="0" xfId="4" applyNumberFormat="1" applyFill="1" applyBorder="1" applyProtection="1">
      <protection locked="0"/>
    </xf>
    <xf numFmtId="0" fontId="9" fillId="0" borderId="0" xfId="4" quotePrefix="1" applyFill="1" applyBorder="1" applyProtection="1">
      <protection locked="0"/>
    </xf>
    <xf numFmtId="0" fontId="12" fillId="0" borderId="0" xfId="4" applyFont="1" applyAlignment="1" applyProtection="1">
      <alignment horizontal="center" vertical="top"/>
    </xf>
    <xf numFmtId="0" fontId="12" fillId="0" borderId="0" xfId="4" applyNumberFormat="1" applyFont="1" applyFill="1" applyBorder="1" applyAlignment="1" applyProtection="1">
      <alignment horizontal="right" vertical="top"/>
    </xf>
    <xf numFmtId="0" fontId="27" fillId="0" borderId="3" xfId="0" applyFont="1" applyBorder="1"/>
    <xf numFmtId="0" fontId="0" fillId="5" borderId="0" xfId="0" applyFill="1" applyProtection="1">
      <protection locked="0"/>
    </xf>
    <xf numFmtId="0" fontId="0" fillId="5" borderId="0" xfId="0" applyFill="1" applyAlignment="1" applyProtection="1">
      <protection locked="0"/>
    </xf>
    <xf numFmtId="0" fontId="28" fillId="0" borderId="0" xfId="0" applyFont="1" applyAlignment="1">
      <alignment vertical="center"/>
    </xf>
    <xf numFmtId="0" fontId="28" fillId="0" borderId="0" xfId="0" applyFont="1" applyBorder="1" applyAlignment="1">
      <alignment horizontal="center" vertical="center"/>
    </xf>
    <xf numFmtId="0" fontId="28" fillId="3" borderId="0" xfId="0" applyFont="1" applyFill="1" applyAlignment="1">
      <alignment horizontal="center" vertical="center"/>
    </xf>
    <xf numFmtId="0" fontId="13" fillId="3" borderId="0" xfId="0" applyFont="1" applyFill="1" applyBorder="1" applyAlignment="1"/>
    <xf numFmtId="0" fontId="0" fillId="3" borderId="10" xfId="0" applyFill="1" applyBorder="1"/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28" fillId="0" borderId="0" xfId="0" applyFont="1" applyBorder="1" applyAlignment="1">
      <alignment horizontal="left" vertical="center"/>
    </xf>
    <xf numFmtId="0" fontId="29" fillId="3" borderId="0" xfId="0" applyFont="1" applyFill="1" applyProtection="1">
      <protection locked="0"/>
    </xf>
    <xf numFmtId="0" fontId="29" fillId="3" borderId="5" xfId="0" applyFont="1" applyFill="1" applyBorder="1" applyProtection="1">
      <protection locked="0"/>
    </xf>
    <xf numFmtId="0" fontId="29" fillId="3" borderId="5" xfId="0" applyFont="1" applyFill="1" applyBorder="1" applyAlignment="1" applyProtection="1">
      <alignment horizontal="right"/>
      <protection locked="0"/>
    </xf>
    <xf numFmtId="0" fontId="29" fillId="3" borderId="2" xfId="0" applyFont="1" applyFill="1" applyBorder="1" applyAlignment="1" applyProtection="1">
      <alignment horizontal="right"/>
      <protection locked="0"/>
    </xf>
    <xf numFmtId="0" fontId="29" fillId="3" borderId="0" xfId="0" applyFont="1" applyFill="1" applyBorder="1" applyAlignment="1" applyProtection="1">
      <alignment horizontal="right"/>
      <protection locked="0"/>
    </xf>
    <xf numFmtId="9" fontId="29" fillId="3" borderId="5" xfId="0" applyNumberFormat="1" applyFont="1" applyFill="1" applyBorder="1" applyProtection="1">
      <protection locked="0"/>
    </xf>
    <xf numFmtId="9" fontId="29" fillId="3" borderId="5" xfId="0" applyNumberFormat="1" applyFont="1" applyFill="1" applyBorder="1" applyAlignment="1" applyProtection="1">
      <alignment horizontal="right"/>
      <protection locked="0"/>
    </xf>
    <xf numFmtId="9" fontId="29" fillId="3" borderId="0" xfId="0" applyNumberFormat="1" applyFont="1" applyFill="1" applyBorder="1" applyAlignment="1" applyProtection="1">
      <alignment horizontal="right"/>
      <protection locked="0"/>
    </xf>
    <xf numFmtId="0" fontId="29" fillId="3" borderId="0" xfId="0" applyFont="1" applyFill="1" applyAlignment="1" applyProtection="1">
      <alignment horizontal="right"/>
      <protection locked="0"/>
    </xf>
    <xf numFmtId="164" fontId="12" fillId="0" borderId="0" xfId="4" applyNumberFormat="1" applyFont="1" applyFill="1" applyBorder="1" applyAlignment="1" applyProtection="1">
      <alignment vertical="top"/>
    </xf>
    <xf numFmtId="164" fontId="12" fillId="0" borderId="0" xfId="4" applyNumberFormat="1" applyFont="1" applyFill="1" applyBorder="1" applyAlignment="1" applyProtection="1">
      <alignment horizontal="right" vertical="top"/>
    </xf>
    <xf numFmtId="3" fontId="12" fillId="0" borderId="0" xfId="4" applyNumberFormat="1" applyFont="1" applyFill="1" applyBorder="1" applyAlignment="1" applyProtection="1">
      <alignment horizontal="right" vertical="top"/>
    </xf>
    <xf numFmtId="3" fontId="10" fillId="0" borderId="0" xfId="3" applyNumberFormat="1" applyFont="1" applyFill="1" applyBorder="1" applyAlignment="1" applyProtection="1">
      <alignment horizontal="center" vertical="top"/>
    </xf>
    <xf numFmtId="9" fontId="19" fillId="9" borderId="0" xfId="4" applyNumberFormat="1" applyFont="1" applyFill="1" applyBorder="1" applyAlignment="1" applyProtection="1">
      <alignment horizontal="center" vertical="top" wrapText="1"/>
      <protection locked="0"/>
    </xf>
    <xf numFmtId="0" fontId="12" fillId="0" borderId="0" xfId="4" applyFont="1" applyAlignment="1" applyProtection="1">
      <alignment horizontal="center" vertical="top"/>
      <protection locked="0"/>
    </xf>
    <xf numFmtId="9" fontId="10" fillId="7" borderId="0" xfId="3" applyFont="1" applyFill="1" applyBorder="1" applyAlignment="1" applyProtection="1">
      <alignment horizontal="center" vertical="top" wrapText="1"/>
      <protection locked="0"/>
    </xf>
    <xf numFmtId="9" fontId="10" fillId="6" borderId="0" xfId="3" applyFont="1" applyFill="1" applyBorder="1" applyAlignment="1" applyProtection="1">
      <alignment horizontal="center" vertical="top" wrapText="1"/>
      <protection locked="0"/>
    </xf>
    <xf numFmtId="9" fontId="10" fillId="13" borderId="0" xfId="3" applyFont="1" applyFill="1" applyBorder="1" applyAlignment="1" applyProtection="1">
      <alignment horizontal="center" vertical="top" wrapText="1"/>
      <protection locked="0"/>
    </xf>
    <xf numFmtId="9" fontId="10" fillId="2" borderId="0" xfId="3" applyFont="1" applyFill="1" applyBorder="1" applyAlignment="1" applyProtection="1">
      <alignment horizontal="center" vertical="top" wrapText="1"/>
      <protection locked="0"/>
    </xf>
    <xf numFmtId="0" fontId="31" fillId="0" borderId="0" xfId="0" applyFont="1"/>
    <xf numFmtId="0" fontId="0" fillId="4" borderId="0" xfId="0" applyFill="1" applyBorder="1" applyAlignment="1">
      <alignment horizontal="left" vertical="top" wrapText="1"/>
    </xf>
    <xf numFmtId="0" fontId="6" fillId="5" borderId="0" xfId="0" applyFont="1" applyFill="1" applyAlignment="1">
      <alignment horizontal="left" vertical="center" indent="5"/>
    </xf>
    <xf numFmtId="0" fontId="3" fillId="0" borderId="0" xfId="0" applyFont="1" applyBorder="1" applyAlignment="1">
      <alignment horizontal="left"/>
    </xf>
    <xf numFmtId="0" fontId="0" fillId="4" borderId="0" xfId="0" applyFont="1" applyFill="1" applyBorder="1" applyAlignment="1">
      <alignment horizontal="left" vertical="top"/>
    </xf>
    <xf numFmtId="0" fontId="0" fillId="5" borderId="0" xfId="0" applyFill="1" applyBorder="1" applyAlignment="1"/>
    <xf numFmtId="0" fontId="0" fillId="5" borderId="0" xfId="0" applyFill="1" applyBorder="1"/>
    <xf numFmtId="0" fontId="4" fillId="5" borderId="0" xfId="2" applyFill="1" applyBorder="1" applyAlignment="1">
      <alignment horizontal="center"/>
    </xf>
    <xf numFmtId="0" fontId="0" fillId="5" borderId="0" xfId="0" applyFill="1" applyBorder="1" applyAlignment="1">
      <alignment horizontal="right"/>
    </xf>
    <xf numFmtId="0" fontId="4" fillId="5" borderId="0" xfId="2" applyFill="1" applyBorder="1" applyAlignment="1">
      <alignment horizontal="right"/>
    </xf>
    <xf numFmtId="0" fontId="32" fillId="5" borderId="0" xfId="0" applyFont="1" applyFill="1" applyBorder="1" applyAlignment="1">
      <alignment horizontal="left" vertical="center"/>
    </xf>
    <xf numFmtId="0" fontId="0" fillId="4" borderId="0" xfId="0" applyFill="1" applyBorder="1"/>
    <xf numFmtId="0" fontId="0" fillId="2" borderId="0" xfId="0" applyFill="1" applyAlignment="1"/>
    <xf numFmtId="0" fontId="6" fillId="2" borderId="0" xfId="0" applyFont="1" applyFill="1" applyAlignment="1">
      <alignment horizontal="left" vertical="center" indent="5"/>
    </xf>
    <xf numFmtId="0" fontId="5" fillId="2" borderId="0" xfId="2" applyFont="1" applyFill="1" applyAlignment="1" applyProtection="1">
      <protection locked="0"/>
    </xf>
    <xf numFmtId="0" fontId="0" fillId="2" borderId="0" xfId="0" applyFill="1" applyBorder="1" applyAlignment="1"/>
    <xf numFmtId="0" fontId="0" fillId="2" borderId="0" xfId="0" applyFill="1" applyBorder="1"/>
    <xf numFmtId="0" fontId="6" fillId="2" borderId="0" xfId="0" applyFont="1" applyFill="1" applyBorder="1" applyAlignment="1">
      <alignment horizontal="left" vertical="center" indent="5"/>
    </xf>
    <xf numFmtId="0" fontId="29" fillId="2" borderId="0" xfId="0" applyFont="1" applyFill="1" applyBorder="1"/>
    <xf numFmtId="0" fontId="5" fillId="2" borderId="0" xfId="2" applyFont="1" applyFill="1" applyBorder="1" applyAlignment="1" applyProtection="1">
      <protection locked="0"/>
    </xf>
    <xf numFmtId="166" fontId="12" fillId="0" borderId="0" xfId="4" applyNumberFormat="1" applyFont="1" applyAlignment="1" applyProtection="1">
      <alignment horizontal="right" vertical="top"/>
    </xf>
    <xf numFmtId="0" fontId="23" fillId="3" borderId="0" xfId="0" applyFont="1" applyFill="1" applyAlignment="1" applyProtection="1">
      <alignment horizontal="right"/>
      <protection locked="0"/>
    </xf>
    <xf numFmtId="0" fontId="21" fillId="0" borderId="9" xfId="0" applyFont="1" applyBorder="1" applyAlignment="1" applyProtection="1">
      <alignment horizontal="right"/>
      <protection locked="0"/>
    </xf>
    <xf numFmtId="164" fontId="15" fillId="0" borderId="0" xfId="4" applyNumberFormat="1" applyFont="1" applyFill="1" applyBorder="1" applyAlignment="1" applyProtection="1">
      <alignment horizontal="right" vertical="top" wrapText="1"/>
      <protection locked="0"/>
    </xf>
    <xf numFmtId="164" fontId="12" fillId="0" borderId="0" xfId="4" applyNumberFormat="1" applyFont="1" applyAlignment="1" applyProtection="1">
      <alignment horizontal="right" vertical="top" wrapText="1"/>
      <protection locked="0"/>
    </xf>
    <xf numFmtId="9" fontId="10" fillId="0" borderId="0" xfId="4" applyNumberFormat="1" applyFont="1" applyAlignment="1" applyProtection="1">
      <alignment horizontal="center" vertical="top"/>
    </xf>
    <xf numFmtId="9" fontId="12" fillId="0" borderId="0" xfId="4" applyNumberFormat="1" applyFont="1" applyAlignment="1" applyProtection="1">
      <alignment horizontal="center" vertical="top"/>
    </xf>
    <xf numFmtId="9" fontId="26" fillId="12" borderId="0" xfId="4" applyNumberFormat="1" applyFont="1" applyFill="1" applyAlignment="1" applyProtection="1">
      <alignment vertical="center"/>
      <protection locked="0"/>
    </xf>
    <xf numFmtId="9" fontId="1" fillId="3" borderId="0" xfId="0" applyNumberFormat="1" applyFont="1" applyFill="1" applyProtection="1">
      <protection locked="0"/>
    </xf>
    <xf numFmtId="9" fontId="21" fillId="0" borderId="9" xfId="0" applyNumberFormat="1" applyFont="1" applyBorder="1" applyAlignment="1" applyProtection="1">
      <protection locked="0"/>
    </xf>
    <xf numFmtId="9" fontId="10" fillId="0" borderId="0" xfId="3" applyNumberFormat="1" applyFont="1" applyFill="1" applyBorder="1" applyAlignment="1" applyProtection="1">
      <alignment horizontal="center" vertical="top" wrapText="1"/>
      <protection locked="0"/>
    </xf>
    <xf numFmtId="9" fontId="10" fillId="0" borderId="0" xfId="3" applyNumberFormat="1" applyFont="1" applyFill="1" applyBorder="1" applyAlignment="1" applyProtection="1">
      <alignment horizontal="left" vertical="top" wrapText="1" indent="1"/>
      <protection locked="0"/>
    </xf>
    <xf numFmtId="9" fontId="10" fillId="0" borderId="0" xfId="4" applyNumberFormat="1" applyFont="1" applyAlignment="1" applyProtection="1">
      <alignment horizontal="center" vertical="top" wrapText="1"/>
      <protection locked="0"/>
    </xf>
    <xf numFmtId="0" fontId="12" fillId="0" borderId="0" xfId="4" applyNumberFormat="1" applyFont="1" applyAlignment="1" applyProtection="1">
      <alignment horizontal="right" vertical="top"/>
    </xf>
    <xf numFmtId="0" fontId="26" fillId="12" borderId="0" xfId="4" applyNumberFormat="1" applyFont="1" applyFill="1" applyAlignment="1" applyProtection="1">
      <alignment horizontal="right" vertical="center"/>
      <protection locked="0"/>
    </xf>
    <xf numFmtId="0" fontId="23" fillId="3" borderId="0" xfId="0" applyNumberFormat="1" applyFont="1" applyFill="1" applyAlignment="1" applyProtection="1">
      <alignment horizontal="right"/>
      <protection locked="0"/>
    </xf>
    <xf numFmtId="0" fontId="21" fillId="0" borderId="9" xfId="0" applyNumberFormat="1" applyFont="1" applyBorder="1" applyAlignment="1" applyProtection="1">
      <alignment horizontal="right"/>
      <protection locked="0"/>
    </xf>
    <xf numFmtId="3" fontId="12" fillId="0" borderId="0" xfId="4" applyNumberFormat="1" applyFont="1" applyAlignment="1" applyProtection="1">
      <alignment horizontal="right" vertical="top" wrapText="1"/>
      <protection locked="0"/>
    </xf>
    <xf numFmtId="0" fontId="20" fillId="0" borderId="6" xfId="4" applyNumberFormat="1" applyFont="1" applyFill="1" applyBorder="1" applyAlignment="1" applyProtection="1">
      <alignment horizontal="center"/>
      <protection hidden="1"/>
    </xf>
    <xf numFmtId="168" fontId="10" fillId="0" borderId="0" xfId="3" applyNumberFormat="1" applyFont="1" applyFill="1" applyBorder="1" applyAlignment="1" applyProtection="1">
      <alignment horizontal="right" vertical="top" wrapText="1"/>
      <protection locked="0"/>
    </xf>
    <xf numFmtId="168" fontId="10" fillId="0" borderId="0" xfId="4" applyNumberFormat="1" applyFont="1" applyAlignment="1" applyProtection="1">
      <alignment horizontal="right" vertical="top" wrapText="1"/>
      <protection locked="0"/>
    </xf>
    <xf numFmtId="168" fontId="12" fillId="0" borderId="0" xfId="4" applyNumberFormat="1" applyFont="1" applyFill="1" applyBorder="1" applyAlignment="1" applyProtection="1">
      <alignment vertical="top" wrapText="1"/>
      <protection locked="0"/>
    </xf>
    <xf numFmtId="168" fontId="15" fillId="0" borderId="0" xfId="4" applyNumberFormat="1" applyFont="1" applyFill="1" applyBorder="1" applyAlignment="1" applyProtection="1">
      <alignment vertical="top" wrapText="1"/>
      <protection locked="0"/>
    </xf>
    <xf numFmtId="168" fontId="12" fillId="0" borderId="0" xfId="4" applyNumberFormat="1" applyFont="1" applyAlignment="1" applyProtection="1">
      <alignment vertical="top" wrapText="1"/>
      <protection locked="0"/>
    </xf>
    <xf numFmtId="0" fontId="26" fillId="12" borderId="0" xfId="4" applyNumberFormat="1" applyFont="1" applyFill="1" applyAlignment="1" applyProtection="1">
      <alignment vertical="center"/>
    </xf>
    <xf numFmtId="0" fontId="24" fillId="3" borderId="0" xfId="4" applyNumberFormat="1" applyFont="1" applyFill="1" applyAlignment="1" applyProtection="1"/>
    <xf numFmtId="0" fontId="19" fillId="9" borderId="7" xfId="4" applyNumberFormat="1" applyFont="1" applyFill="1" applyBorder="1" applyAlignment="1" applyProtection="1">
      <alignment horizontal="center" vertical="top" wrapText="1"/>
      <protection locked="0"/>
    </xf>
    <xf numFmtId="0" fontId="10" fillId="0" borderId="0" xfId="4" applyNumberFormat="1" applyFont="1" applyAlignment="1" applyProtection="1">
      <alignment horizontal="right" vertical="top"/>
    </xf>
    <xf numFmtId="0" fontId="1" fillId="3" borderId="0" xfId="0" applyNumberFormat="1" applyFont="1" applyFill="1" applyAlignment="1" applyProtection="1">
      <alignment horizontal="right"/>
      <protection locked="0"/>
    </xf>
    <xf numFmtId="0" fontId="21" fillId="0" borderId="0" xfId="0" applyNumberFormat="1" applyFont="1" applyBorder="1" applyAlignment="1" applyProtection="1">
      <alignment horizontal="right"/>
      <protection locked="0"/>
    </xf>
    <xf numFmtId="0" fontId="24" fillId="0" borderId="9" xfId="0" applyFont="1" applyBorder="1" applyAlignment="1" applyProtection="1">
      <alignment horizontal="left"/>
    </xf>
    <xf numFmtId="0" fontId="38" fillId="0" borderId="0" xfId="4" applyFont="1" applyFill="1" applyBorder="1" applyAlignment="1" applyProtection="1"/>
    <xf numFmtId="0" fontId="37" fillId="0" borderId="11" xfId="4" applyNumberFormat="1" applyFont="1" applyFill="1" applyBorder="1" applyAlignment="1" applyProtection="1">
      <alignment horizontal="center" vertical="center" shrinkToFit="1"/>
      <protection hidden="1"/>
    </xf>
    <xf numFmtId="0" fontId="37" fillId="8" borderId="11" xfId="4" applyNumberFormat="1" applyFont="1" applyFill="1" applyBorder="1" applyAlignment="1" applyProtection="1">
      <alignment horizontal="center" vertical="center" shrinkToFit="1"/>
      <protection hidden="1"/>
    </xf>
    <xf numFmtId="0" fontId="0" fillId="0" borderId="12" xfId="0" applyBorder="1"/>
    <xf numFmtId="0" fontId="12" fillId="0" borderId="12" xfId="4" applyNumberFormat="1" applyFont="1" applyFill="1" applyBorder="1" applyAlignment="1" applyProtection="1">
      <alignment horizontal="left" vertical="top" wrapText="1"/>
      <protection locked="0"/>
    </xf>
    <xf numFmtId="0" fontId="12" fillId="0" borderId="12" xfId="4" applyFont="1" applyFill="1" applyBorder="1" applyAlignment="1" applyProtection="1">
      <alignment vertical="top" wrapText="1"/>
      <protection locked="0"/>
    </xf>
    <xf numFmtId="168" fontId="12" fillId="0" borderId="12" xfId="4" applyNumberFormat="1" applyFont="1" applyFill="1" applyBorder="1" applyAlignment="1" applyProtection="1">
      <alignment vertical="top" wrapText="1"/>
      <protection locked="0"/>
    </xf>
    <xf numFmtId="164" fontId="12" fillId="0" borderId="12" xfId="4" applyNumberFormat="1" applyFont="1" applyFill="1" applyBorder="1" applyAlignment="1" applyProtection="1">
      <alignment vertical="top" wrapText="1"/>
      <protection locked="0"/>
    </xf>
    <xf numFmtId="164" fontId="12" fillId="0" borderId="12" xfId="4" applyNumberFormat="1" applyFont="1" applyFill="1" applyBorder="1" applyAlignment="1" applyProtection="1">
      <alignment horizontal="right" vertical="top" wrapText="1"/>
      <protection locked="0"/>
    </xf>
    <xf numFmtId="3" fontId="12" fillId="0" borderId="12" xfId="4" applyNumberFormat="1" applyFont="1" applyFill="1" applyBorder="1" applyAlignment="1" applyProtection="1">
      <alignment horizontal="right" vertical="top" wrapText="1"/>
      <protection locked="0"/>
    </xf>
    <xf numFmtId="9" fontId="10" fillId="0" borderId="12" xfId="3" applyNumberFormat="1" applyFont="1" applyFill="1" applyBorder="1" applyAlignment="1" applyProtection="1">
      <alignment horizontal="center" vertical="top" wrapText="1"/>
      <protection locked="0"/>
    </xf>
    <xf numFmtId="168" fontId="10" fillId="0" borderId="12" xfId="3" applyNumberFormat="1" applyFont="1" applyFill="1" applyBorder="1" applyAlignment="1" applyProtection="1">
      <alignment horizontal="right" vertical="top" wrapText="1"/>
      <protection locked="0"/>
    </xf>
    <xf numFmtId="9" fontId="10" fillId="0" borderId="12" xfId="3" applyFont="1" applyFill="1" applyBorder="1" applyAlignment="1" applyProtection="1">
      <alignment horizontal="center" vertical="top" wrapText="1"/>
      <protection locked="0"/>
    </xf>
    <xf numFmtId="9" fontId="10" fillId="7" borderId="12" xfId="3" applyFont="1" applyFill="1" applyBorder="1" applyAlignment="1" applyProtection="1">
      <alignment horizontal="center" vertical="top" wrapText="1"/>
      <protection locked="0"/>
    </xf>
    <xf numFmtId="9" fontId="10" fillId="6" borderId="12" xfId="3" applyFont="1" applyFill="1" applyBorder="1" applyAlignment="1" applyProtection="1">
      <alignment horizontal="center" vertical="top" wrapText="1"/>
      <protection locked="0"/>
    </xf>
    <xf numFmtId="9" fontId="10" fillId="13" borderId="12" xfId="3" applyFont="1" applyFill="1" applyBorder="1" applyAlignment="1" applyProtection="1">
      <alignment horizontal="center" vertical="top" wrapText="1"/>
      <protection locked="0"/>
    </xf>
    <xf numFmtId="9" fontId="10" fillId="2" borderId="12" xfId="3" applyFont="1" applyFill="1" applyBorder="1" applyAlignment="1" applyProtection="1">
      <alignment horizontal="center" vertical="top" wrapText="1"/>
      <protection locked="0"/>
    </xf>
    <xf numFmtId="0" fontId="12" fillId="0" borderId="12" xfId="4" applyFont="1" applyFill="1" applyBorder="1" applyAlignment="1" applyProtection="1">
      <alignment horizontal="center" vertical="center"/>
    </xf>
    <xf numFmtId="15" fontId="0" fillId="0" borderId="12" xfId="0" applyNumberFormat="1" applyBorder="1"/>
    <xf numFmtId="0" fontId="0" fillId="4" borderId="0" xfId="0" applyFill="1" applyBorder="1" applyAlignment="1">
      <alignment horizontal="left" vertical="top" wrapText="1"/>
    </xf>
    <xf numFmtId="0" fontId="3" fillId="4" borderId="0" xfId="0" applyFont="1" applyFill="1" applyBorder="1" applyAlignment="1">
      <alignment horizontal="left" vertical="top" wrapText="1"/>
    </xf>
    <xf numFmtId="0" fontId="6" fillId="5" borderId="0" xfId="0" applyFont="1" applyFill="1" applyAlignment="1">
      <alignment horizontal="left" vertical="center" indent="3"/>
    </xf>
    <xf numFmtId="0" fontId="3" fillId="0" borderId="0" xfId="0" applyFont="1" applyBorder="1" applyAlignment="1">
      <alignment horizontal="left"/>
    </xf>
    <xf numFmtId="0" fontId="0" fillId="0" borderId="0" xfId="0" applyFont="1" applyBorder="1" applyAlignment="1">
      <alignment horizontal="left" vertical="top" wrapText="1"/>
    </xf>
    <xf numFmtId="0" fontId="34" fillId="5" borderId="0" xfId="0" applyFont="1" applyFill="1" applyBorder="1" applyAlignment="1">
      <alignment horizontal="center" vertical="center"/>
    </xf>
    <xf numFmtId="0" fontId="36" fillId="5" borderId="0" xfId="2" applyFont="1" applyFill="1" applyBorder="1" applyAlignment="1">
      <alignment horizontal="center"/>
    </xf>
    <xf numFmtId="0" fontId="35" fillId="5" borderId="0" xfId="2" applyFont="1" applyFill="1" applyAlignment="1" applyProtection="1">
      <alignment horizontal="center"/>
      <protection locked="0"/>
    </xf>
    <xf numFmtId="0" fontId="28" fillId="0" borderId="0" xfId="0" applyFont="1" applyAlignment="1">
      <alignment horizontal="center"/>
    </xf>
    <xf numFmtId="0" fontId="2" fillId="3" borderId="1" xfId="1" applyFill="1" applyAlignment="1">
      <alignment horizontal="right" vertical="center"/>
    </xf>
    <xf numFmtId="0" fontId="2" fillId="3" borderId="1" xfId="1" applyFill="1" applyAlignment="1" applyProtection="1">
      <alignment horizontal="left" vertical="center"/>
      <protection locked="0"/>
    </xf>
    <xf numFmtId="0" fontId="13" fillId="0" borderId="0" xfId="0" applyFont="1" applyAlignment="1">
      <alignment horizontal="center"/>
    </xf>
    <xf numFmtId="0" fontId="13" fillId="0" borderId="4" xfId="0" applyFont="1" applyBorder="1" applyAlignment="1">
      <alignment horizontal="center"/>
    </xf>
  </cellXfs>
  <cellStyles count="199"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Heading 1" xfId="1" builtinId="16"/>
    <cellStyle name="Hyperlink" xfId="2" builtinId="8"/>
    <cellStyle name="Normal" xfId="0" builtinId="0"/>
    <cellStyle name="Normal 3" xfId="4"/>
    <cellStyle name="Percent 2" xfId="3"/>
  </cellStyles>
  <dxfs count="3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0" formatCode="General"/>
      <alignment horizontal="general" vertical="bottom" textRotation="0" wrapText="0" indent="0" justifyLastLine="0" shrinkToFit="0" readingOrder="0"/>
      <protection locked="0" hidden="0"/>
    </dxf>
    <dxf>
      <border diagonalUp="0" diagonalDown="0">
        <left style="thin">
          <color theme="0" tint="-4.9989318521683403E-2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top" textRotation="0" wrapText="0" indent="0" justifyLastLine="0" shrinkToFit="0" readingOrder="0"/>
      <protection locked="0" hidden="0"/>
    </dxf>
    <dxf>
      <protection locked="0"/>
    </dxf>
    <dxf>
      <protection locked="0"/>
    </dxf>
    <dxf>
      <protection locked="0"/>
    </dxf>
    <dxf>
      <protection locked="0"/>
    </dxf>
    <dxf>
      <font>
        <color rgb="FF9C0006"/>
      </font>
    </dxf>
  </dxfs>
  <tableStyles count="0" defaultTableStyle="TableStyleMedium2" defaultPivotStyle="PivotStyleLight16"/>
  <colors>
    <mruColors>
      <color rgb="FFFF5050"/>
      <color rgb="FF57D3FF"/>
      <color rgb="FFCAE8AA"/>
      <color rgb="FFD4EC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006774724578901"/>
          <c:y val="8.0715780972722501E-2"/>
          <c:w val="0.52704398208568004"/>
          <c:h val="0.693478699777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FBBA-4B8C-8DA7-37D3BB31713E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FBBA-4B8C-8DA7-37D3BB31713E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FBBA-4B8C-8DA7-37D3BB31713E}"/>
              </c:ext>
            </c:extLst>
          </c:dPt>
          <c:dPt>
            <c:idx val="3"/>
            <c:bubble3D val="0"/>
            <c:spPr>
              <a:solidFill>
                <a:srgbClr val="FF5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FBBA-4B8C-8DA7-37D3BB31713E}"/>
              </c:ext>
            </c:extLst>
          </c:dPt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DashboardTemplate!$D$9:$D$12</c:f>
              <c:strCache>
                <c:ptCount val="4"/>
                <c:pt idx="0">
                  <c:v>Completed</c:v>
                </c:pt>
                <c:pt idx="1">
                  <c:v>In-Progress</c:v>
                </c:pt>
                <c:pt idx="2">
                  <c:v>Planned</c:v>
                </c:pt>
                <c:pt idx="3">
                  <c:v>Overdue</c:v>
                </c:pt>
              </c:strCache>
            </c:strRef>
          </c:cat>
          <c:val>
            <c:numRef>
              <c:f>DashboardTemplate!$E$9:$E$12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54C5-49C2-BBAF-1EEEEFEF2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</c:plotArea>
    <c:legend>
      <c:legendPos val="b"/>
      <c:overlay val="0"/>
    </c:legend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258776604889502E-2"/>
          <c:y val="0.168747777495555"/>
          <c:w val="0.80351473307215904"/>
          <c:h val="0.70013419693505996"/>
        </c:manualLayout>
      </c:layout>
      <c:doughnutChart>
        <c:varyColors val="1"/>
        <c:ser>
          <c:idx val="0"/>
          <c:order val="0"/>
          <c:spPr>
            <a:solidFill>
              <a:srgbClr val="CAE8AA"/>
            </a:solidFill>
          </c:spPr>
          <c:dPt>
            <c:idx val="0"/>
            <c:bubble3D val="0"/>
            <c:spPr>
              <a:solidFill>
                <a:srgbClr val="92D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0D84-4326-8EE3-26B8D249D7D0}"/>
              </c:ext>
            </c:extLst>
          </c:dPt>
          <c:val>
            <c:numRef>
              <c:f>DashboardTemplate!$X$3:$Y$3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1D27-42A7-BE97-6AF0474DA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3"/>
      </c:doughnutChart>
    </c:plotArea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 Activity </a:t>
            </a:r>
            <a:r>
              <a:rPr lang="en-US" sz="1100" baseline="0"/>
              <a:t>(Top 5 Tasks by Cost)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9"/>
              <c:pt idx="0">
                <c:v>Campaign</c:v>
              </c:pt>
              <c:pt idx="1">
                <c:v>Website</c:v>
              </c:pt>
              <c:pt idx="2">
                <c:v>Marketing Automation</c:v>
              </c:pt>
              <c:pt idx="3">
                <c:v>Office/Promotion</c:v>
              </c:pt>
              <c:pt idx="4">
                <c:v>Marketing Dashboard</c:v>
              </c:pt>
              <c:pt idx="5">
                <c:v>Lead Generation</c:v>
              </c:pt>
              <c:pt idx="6">
                <c:v>Social Media</c:v>
              </c:pt>
              <c:pt idx="7">
                <c:v>Software Subscriptions</c:v>
              </c:pt>
              <c:pt idx="8">
                <c:v>Supplies</c:v>
              </c:pt>
            </c:strLit>
          </c:cat>
          <c: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38A-4D02-A8F3-C7B5E70209B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45945984"/>
        <c:axId val="345948928"/>
      </c:barChart>
      <c:catAx>
        <c:axId val="34594598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948928"/>
        <c:crosses val="autoZero"/>
        <c:auto val="1"/>
        <c:lblAlgn val="ctr"/>
        <c:lblOffset val="100"/>
        <c:noMultiLvlLbl val="0"/>
      </c:catAx>
      <c:valAx>
        <c:axId val="3459489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459459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 xmlns:c16r2="http://schemas.microsoft.com/office/drawing/2015/06/chart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</a:t>
            </a:r>
            <a:r>
              <a:rPr lang="en-US" sz="1100" baseline="0"/>
              <a:t> </a:t>
            </a:r>
            <a:r>
              <a:rPr lang="en-US" sz="1100"/>
              <a:t>Activity </a:t>
            </a:r>
            <a:r>
              <a:rPr lang="en-US" sz="1100" baseline="0"/>
              <a:t>(by Percentage Complete)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9"/>
              <c:pt idx="0">
                <c:v>Campaign</c:v>
              </c:pt>
              <c:pt idx="1">
                <c:v>Website</c:v>
              </c:pt>
              <c:pt idx="2">
                <c:v>Marketing Automation</c:v>
              </c:pt>
              <c:pt idx="3">
                <c:v>Office/Promotion</c:v>
              </c:pt>
              <c:pt idx="4">
                <c:v>Marketing Dashboard</c:v>
              </c:pt>
              <c:pt idx="5">
                <c:v>Lead Generation</c:v>
              </c:pt>
              <c:pt idx="6">
                <c:v>Social Media</c:v>
              </c:pt>
              <c:pt idx="7">
                <c:v>Software Subscriptions</c:v>
              </c:pt>
              <c:pt idx="8">
                <c:v>Supplies</c:v>
              </c:pt>
            </c:strLit>
          </c:cat>
          <c: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4B5-4E64-B19D-CD18047BCC6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46015616"/>
        <c:axId val="346096384"/>
      </c:barChart>
      <c:catAx>
        <c:axId val="34601561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096384"/>
        <c:crosses val="autoZero"/>
        <c:auto val="1"/>
        <c:lblAlgn val="ctr"/>
        <c:lblOffset val="100"/>
        <c:noMultiLvlLbl val="0"/>
      </c:catAx>
      <c:valAx>
        <c:axId val="346096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460156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 xmlns:c16r2="http://schemas.microsoft.com/office/drawing/2015/06/chart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Activity -</a:t>
            </a:r>
            <a:r>
              <a:rPr lang="en-IN" sz="1100" baseline="0"/>
              <a:t> Task Completion Percentage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"/>
              <c:pt idx="0">
                <c:v>(blank)</c:v>
              </c:pt>
            </c:strLit>
          </c:cat>
          <c: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74-4BED-9DFF-9280E21F90E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46159360"/>
        <c:axId val="350364800"/>
      </c:barChart>
      <c:catAx>
        <c:axId val="3461593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364800"/>
        <c:crosses val="autoZero"/>
        <c:auto val="1"/>
        <c:lblAlgn val="ctr"/>
        <c:lblOffset val="100"/>
        <c:noMultiLvlLbl val="0"/>
      </c:catAx>
      <c:valAx>
        <c:axId val="3503648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4615936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 xmlns:c16r2="http://schemas.microsoft.com/office/drawing/2015/06/chart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A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- Task Allocation by</a:t>
            </a:r>
            <a:r>
              <a:rPr lang="en-IN" sz="1100" baseline="0"/>
              <a:t> Percentage 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"/>
              <c:pt idx="1">
                <c:v>(blank)</c:v>
              </c:pt>
            </c:strLit>
          </c:cat>
          <c:val>
            <c:numLit>
              <c:formatCode>General</c:formatCode>
              <c:ptCount val="2"/>
              <c:pt idx="0">
                <c:v>0.148148148148149</c:v>
              </c:pt>
              <c:pt idx="1">
                <c:v>0.85185185185185397</c:v>
              </c:pt>
            </c:numLit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9B2-42A4-97A2-FE69848DED9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50438528"/>
        <c:axId val="350449664"/>
      </c:barChart>
      <c:catAx>
        <c:axId val="3504385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449664"/>
        <c:crosses val="autoZero"/>
        <c:auto val="1"/>
        <c:lblAlgn val="ctr"/>
        <c:lblOffset val="100"/>
        <c:noMultiLvlLbl val="0"/>
      </c:catAx>
      <c:valAx>
        <c:axId val="3504496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5043852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F7964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 xmlns:c16r2="http://schemas.microsoft.com/office/drawing/2015/06/chart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croll" dx="22" fmlaLink="$VEW$2" horiz="1" max="10000" min="1" page="0"/>
</file>

<file path=xl/ctrlProps/ctrlProp3.xml><?xml version="1.0" encoding="utf-8"?>
<formControlPr xmlns="http://schemas.microsoft.com/office/spreadsheetml/2009/9/main" objectType="Scroll" dx="22" fmlaLink="$VEW$2" horiz="1" max="10000" min="1" page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://www.ganttexcel.com" TargetMode="Externa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57150</xdr:rowOff>
    </xdr:from>
    <xdr:ext cx="1285116" cy="600075"/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247650"/>
          <a:ext cx="1285116" cy="600075"/>
        </a:xfrm>
        <a:prstGeom prst="rect">
          <a:avLst/>
        </a:prstGeom>
      </xdr:spPr>
    </xdr:pic>
    <xdr:clientData/>
  </xdr:oneCellAnchor>
  <xdr:oneCellAnchor>
    <xdr:from>
      <xdr:col>1</xdr:col>
      <xdr:colOff>514350</xdr:colOff>
      <xdr:row>13</xdr:row>
      <xdr:rowOff>66675</xdr:rowOff>
    </xdr:from>
    <xdr:ext cx="304800" cy="304800"/>
    <xdr:pic>
      <xdr:nvPicPr>
        <xdr:cNvPr id="3" name="Picture 2" descr="add_Gantt_Chart.png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123950" y="1209675"/>
          <a:ext cx="304800" cy="304800"/>
        </a:xfrm>
        <a:prstGeom prst="rect">
          <a:avLst/>
        </a:prstGeom>
      </xdr:spPr>
    </xdr:pic>
    <xdr:clientData/>
  </xdr:oneCellAnchor>
  <xdr:oneCellAnchor>
    <xdr:from>
      <xdr:col>3</xdr:col>
      <xdr:colOff>352425</xdr:colOff>
      <xdr:row>17</xdr:row>
      <xdr:rowOff>57150</xdr:rowOff>
    </xdr:from>
    <xdr:ext cx="8629650" cy="1200150"/>
    <xdr:pic>
      <xdr:nvPicPr>
        <xdr:cNvPr id="4" name="Picture 3" descr="timeline.png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181225" y="1962150"/>
          <a:ext cx="8629650" cy="1200150"/>
        </a:xfrm>
        <a:prstGeom prst="rect">
          <a:avLst/>
        </a:prstGeom>
      </xdr:spPr>
    </xdr:pic>
    <xdr:clientData/>
  </xdr:oneCellAnchor>
  <xdr:oneCellAnchor>
    <xdr:from>
      <xdr:col>3</xdr:col>
      <xdr:colOff>247650</xdr:colOff>
      <xdr:row>28</xdr:row>
      <xdr:rowOff>47625</xdr:rowOff>
    </xdr:from>
    <xdr:ext cx="304800" cy="304800"/>
    <xdr:pic>
      <xdr:nvPicPr>
        <xdr:cNvPr id="5" name="Picture 4" descr="add_task1.png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076450" y="4048125"/>
          <a:ext cx="304800" cy="3048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1724024" y="4495800"/>
    <xdr:ext cx="885825" cy="276225"/>
    <xdr:sp macro="" textlink="$X$16">
      <xdr:nvSpPr>
        <xdr:cNvPr id="20" name="BC">
          <a:extLst>
            <a:ext uri="{FF2B5EF4-FFF2-40B4-BE49-F238E27FC236}">
              <a16:creationId xmlns:a16="http://schemas.microsoft.com/office/drawing/2014/main" xmlns="" id="{00000000-0008-0000-0100-000014000000}"/>
            </a:ext>
          </a:extLst>
        </xdr:cNvPr>
        <xdr:cNvSpPr/>
      </xdr:nvSpPr>
      <xdr:spPr>
        <a:xfrm>
          <a:off x="1724024" y="4495800"/>
          <a:ext cx="885825" cy="2762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B839C62-C493-4D4C-BE2A-88598998C3A8}" type="TxLink">
            <a:rPr lang="en-US" sz="10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#REF!</a:t>
          </a:fld>
          <a:endParaRPr lang="en-IN" sz="10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xdr:absoluteAnchor>
    <xdr:pos x="613540" y="3686174"/>
    <xdr:ext cx="3200400" cy="2286000"/>
    <xdr:graphicFrame macro="">
      <xdr:nvGraphicFramePr>
        <xdr:cNvPr id="19" name="chrt_ProjectProgress">
          <a:extLst>
            <a:ext uri="{FF2B5EF4-FFF2-40B4-BE49-F238E27FC236}">
              <a16:creationId xmlns:a16="http://schemas.microsoft.com/office/drawing/2014/main" xmlns="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613540" y="282088"/>
    <xdr:ext cx="3200400" cy="2286000"/>
    <xdr:graphicFrame macro="">
      <xdr:nvGraphicFramePr>
        <xdr:cNvPr id="2" name="chrt_ProjectProgress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669255" y="2697783"/>
    <xdr:ext cx="914400" cy="365760"/>
    <xdr:sp macro="" textlink="$X$12">
      <xdr:nvSpPr>
        <xdr:cNvPr id="3" name="EstimatedBudget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66925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C6410B3A-DE43-4B1D-8789-8A29BE984693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ESTIMATED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188557" y="3864213"/>
    <xdr:ext cx="1440000" cy="631587"/>
    <xdr:sp macro="" textlink="$Z$11">
      <xdr:nvSpPr>
        <xdr:cNvPr id="9" name="BC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/>
      </xdr:nvSpPr>
      <xdr:spPr>
        <a:xfrm>
          <a:off x="5188557" y="3864213"/>
          <a:ext cx="1440000" cy="631587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E8D9F1D-DC1A-4B8B-B138-5D80841B9D47}" type="TxLink">
            <a:rPr lang="en-US" sz="12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188557" y="4295775"/>
    <xdr:ext cx="1440000" cy="180000"/>
    <xdr:sp macro="" textlink="$X$11">
      <xdr:nvSpPr>
        <xdr:cNvPr id="10" name="BCLabel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/>
      </xdr:nvSpPr>
      <xdr:spPr>
        <a:xfrm>
          <a:off x="5188557" y="4295775"/>
          <a:ext cx="1440000" cy="180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F77D35C9-451E-4A2A-988B-60F60504989B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BASELINE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5836258" y="4597638"/>
    <xdr:ext cx="1440000" cy="631587"/>
    <xdr:sp macro="" textlink="$Z$12">
      <xdr:nvSpPr>
        <xdr:cNvPr id="11" name="EC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SpPr/>
      </xdr:nvSpPr>
      <xdr:spPr>
        <a:xfrm>
          <a:off x="5836258" y="4597638"/>
          <a:ext cx="1440000" cy="631587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AE79AF7-AB30-4AC2-8636-5604D279EE70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836258" y="5038726"/>
    <xdr:ext cx="1440000" cy="180000"/>
    <xdr:sp macro="" textlink="$X$12">
      <xdr:nvSpPr>
        <xdr:cNvPr id="12" name="ECLabel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SpPr/>
      </xdr:nvSpPr>
      <xdr:spPr>
        <a:xfrm>
          <a:off x="5836258" y="5038726"/>
          <a:ext cx="1440000" cy="180000"/>
        </a:xfrm>
        <a:prstGeom prst="rect">
          <a:avLst/>
        </a:prstGeom>
        <a:solidFill>
          <a:srgbClr val="57D3FF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F3E54C05-6EAB-4052-868C-F795B47A1E93}" type="TxLink">
            <a:rPr lang="en-US" sz="10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ESTIMATED</a:t>
          </a:fld>
          <a:endParaRPr lang="en-US" sz="10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absoluteAnchor>
  <xdr:absoluteAnchor>
    <xdr:pos x="6531582" y="5292963"/>
    <xdr:ext cx="1440000" cy="631587"/>
    <xdr:sp macro="" textlink="$Z$13">
      <xdr:nvSpPr>
        <xdr:cNvPr id="13" name="AC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SpPr/>
      </xdr:nvSpPr>
      <xdr:spPr>
        <a:xfrm>
          <a:off x="6531582" y="5292963"/>
          <a:ext cx="1440000" cy="631587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2D99FB3F-F890-4577-9951-815363600254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6531582" y="5734050"/>
    <xdr:ext cx="1440000" cy="180000"/>
    <xdr:sp macro="" textlink="$X$13">
      <xdr:nvSpPr>
        <xdr:cNvPr id="14" name="ACLabel"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SpPr/>
      </xdr:nvSpPr>
      <xdr:spPr>
        <a:xfrm>
          <a:off x="6531582" y="5734050"/>
          <a:ext cx="1440000" cy="180000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DADC511-3C73-4B00-B716-0660050E3CE5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ACTUAL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2583655" y="2697783"/>
    <xdr:ext cx="1828800" cy="365760"/>
    <xdr:sp macro="" textlink="$Z$6">
      <xdr:nvSpPr>
        <xdr:cNvPr id="21" name="EstimatedBudget">
          <a:extLst>
            <a:ext uri="{FF2B5EF4-FFF2-40B4-BE49-F238E27FC236}">
              <a16:creationId xmlns:a16="http://schemas.microsoft.com/office/drawing/2014/main" xmlns="" id="{00000000-0008-0000-0100-000015000000}"/>
            </a:ext>
          </a:extLst>
        </xdr:cNvPr>
        <xdr:cNvSpPr/>
      </xdr:nvSpPr>
      <xdr:spPr>
        <a:xfrm>
          <a:off x="2583655" y="2697783"/>
          <a:ext cx="1828800" cy="365760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B898F345-C053-4851-BB57-A5471B6B6EB0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$ 31,726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422105" y="2697783"/>
    <xdr:ext cx="1828800" cy="365760"/>
    <xdr:sp macro="" textlink="$Z$8">
      <xdr:nvSpPr>
        <xdr:cNvPr id="24" name="EstimatedBudget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SpPr/>
      </xdr:nvSpPr>
      <xdr:spPr>
        <a:xfrm>
          <a:off x="5422105" y="2697783"/>
          <a:ext cx="1828800" cy="36576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EA22829-425B-47DE-87DF-054A50923C8B}" type="TxLink">
            <a:rPr lang="en-US" sz="1100" b="1" i="0" u="none" strike="noStrike">
              <a:solidFill>
                <a:schemeClr val="bg1"/>
              </a:solidFill>
              <a:effectLst/>
              <a:latin typeface="Calibri"/>
            </a:rPr>
            <a:pPr algn="ctr"/>
            <a:t>#REF!</a:t>
          </a:fld>
          <a:endParaRPr lang="en-IN" sz="1100" b="1">
            <a:solidFill>
              <a:schemeClr val="bg1"/>
            </a:solidFill>
            <a:effectLst/>
          </a:endParaRPr>
        </a:p>
      </xdr:txBody>
    </xdr:sp>
    <xdr:clientData/>
  </xdr:absoluteAnchor>
  <xdr:absoluteAnchor>
    <xdr:pos x="4505325" y="2697783"/>
    <xdr:ext cx="914400" cy="365760"/>
    <xdr:sp macro="" textlink="$X$13">
      <xdr:nvSpPr>
        <xdr:cNvPr id="25" name="EstimatedBudget">
          <a:extLst>
            <a:ext uri="{FF2B5EF4-FFF2-40B4-BE49-F238E27FC236}">
              <a16:creationId xmlns:a16="http://schemas.microsoft.com/office/drawing/2014/main" xmlns="" id="{00000000-0008-0000-0100-000019000000}"/>
            </a:ext>
          </a:extLst>
        </xdr:cNvPr>
        <xdr:cNvSpPr/>
      </xdr:nvSpPr>
      <xdr:spPr>
        <a:xfrm>
          <a:off x="450532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91D059A-19AB-4722-BC65-432B9E1C31AB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ACTUAL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238125" y="6765925"/>
    <xdr:ext cx="4114800" cy="2743200"/>
    <xdr:graphicFrame macro="">
      <xdr:nvGraphicFramePr>
        <xdr:cNvPr id="38" name="chrt1">
          <a:extLst>
            <a:ext uri="{FF2B5EF4-FFF2-40B4-BE49-F238E27FC236}">
              <a16:creationId xmlns:a16="http://schemas.microsoft.com/office/drawing/2014/main" xmlns="" id="{00000000-0008-0000-01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4436100" y="6765925"/>
    <xdr:ext cx="4114800" cy="2743200"/>
    <xdr:graphicFrame macro="">
      <xdr:nvGraphicFramePr>
        <xdr:cNvPr id="39" name="chrt2">
          <a:extLst>
            <a:ext uri="{FF2B5EF4-FFF2-40B4-BE49-F238E27FC236}">
              <a16:creationId xmlns:a16="http://schemas.microsoft.com/office/drawing/2014/main" xmlns="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4436100" y="9571039"/>
    <xdr:ext cx="4114800" cy="2743200"/>
    <xdr:graphicFrame macro="">
      <xdr:nvGraphicFramePr>
        <xdr:cNvPr id="40" name="chrt3">
          <a:extLst>
            <a:ext uri="{FF2B5EF4-FFF2-40B4-BE49-F238E27FC236}">
              <a16:creationId xmlns:a16="http://schemas.microsoft.com/office/drawing/2014/main" xmlns="" id="{00000000-0008-0000-01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238125" y="9571039"/>
    <xdr:ext cx="4114800" cy="2743200"/>
    <xdr:graphicFrame macro="">
      <xdr:nvGraphicFramePr>
        <xdr:cNvPr id="41" name="chrt4">
          <a:extLst>
            <a:ext uri="{FF2B5EF4-FFF2-40B4-BE49-F238E27FC236}">
              <a16:creationId xmlns:a16="http://schemas.microsoft.com/office/drawing/2014/main" xmlns="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  <xdr:absoluteAnchor>
    <xdr:pos x="1609726" y="1292464"/>
    <xdr:ext cx="1085850" cy="345836"/>
    <xdr:sp macro="" textlink="$X$3">
      <xdr:nvSpPr>
        <xdr:cNvPr id="18" name="BC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SpPr/>
      </xdr:nvSpPr>
      <xdr:spPr>
        <a:xfrm>
          <a:off x="1609726" y="1292464"/>
          <a:ext cx="1085850" cy="345836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8C21BEF8-1362-4D0F-9902-3141847EC089}" type="TxLink">
            <a:rPr lang="en-US" sz="14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0%</a:t>
          </a:fld>
          <a:endParaRPr lang="en-IN" sz="1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123825</xdr:colOff>
          <xdr:row>1</xdr:row>
          <xdr:rowOff>0</xdr:rowOff>
        </xdr:from>
        <xdr:to>
          <xdr:col>5</xdr:col>
          <xdr:colOff>676275</xdr:colOff>
          <xdr:row>1</xdr:row>
          <xdr:rowOff>228600</xdr:rowOff>
        </xdr:to>
        <xdr:sp macro="" textlink="">
          <xdr:nvSpPr>
            <xdr:cNvPr id="2049" name="btnRefreshDashboard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57150</xdr:colOff>
      <xdr:row>9</xdr:row>
      <xdr:rowOff>29146</xdr:rowOff>
    </xdr:from>
    <xdr:to>
      <xdr:col>35</xdr:col>
      <xdr:colOff>114300</xdr:colOff>
      <xdr:row>9</xdr:row>
      <xdr:rowOff>142304</xdr:rowOff>
    </xdr:to>
    <xdr:sp macro="" textlink="">
      <xdr:nvSpPr>
        <xdr:cNvPr id="2" name="S_E_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8505825" y="1734121"/>
          <a:ext cx="228600" cy="113158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5</xdr:row>
          <xdr:rowOff>28575</xdr:rowOff>
        </xdr:from>
        <xdr:to>
          <xdr:col>32</xdr:col>
          <xdr:colOff>28575</xdr:colOff>
          <xdr:row>5</xdr:row>
          <xdr:rowOff>219075</xdr:rowOff>
        </xdr:to>
        <xdr:sp macro="" textlink="">
          <xdr:nvSpPr>
            <xdr:cNvPr id="3073" name="Scroll_Calendar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28575</xdr:colOff>
          <xdr:row>5</xdr:row>
          <xdr:rowOff>28575</xdr:rowOff>
        </xdr:from>
        <xdr:to>
          <xdr:col>31</xdr:col>
          <xdr:colOff>161925</xdr:colOff>
          <xdr:row>5</xdr:row>
          <xdr:rowOff>219075</xdr:rowOff>
        </xdr:to>
        <xdr:sp macro="" textlink="">
          <xdr:nvSpPr>
            <xdr:cNvPr id="4097" name="Scroll_Calendar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28</xdr:col>
      <xdr:colOff>57150</xdr:colOff>
      <xdr:row>9</xdr:row>
      <xdr:rowOff>34004</xdr:rowOff>
    </xdr:from>
    <xdr:to>
      <xdr:col>32</xdr:col>
      <xdr:colOff>114300</xdr:colOff>
      <xdr:row>9</xdr:row>
      <xdr:rowOff>166021</xdr:rowOff>
    </xdr:to>
    <xdr:sp macro="" textlink="">
      <xdr:nvSpPr>
        <xdr:cNvPr id="10" name="S_E_1">
          <a:extLst>
            <a:ext uri="{FF2B5EF4-FFF2-40B4-BE49-F238E27FC236}">
              <a16:creationId xmlns:a16="http://schemas.microsoft.com/office/drawing/2014/main" xmlns="" id="{C24FC155-FD8A-41B9-BA41-B88BA9022E28}"/>
            </a:ext>
          </a:extLst>
        </xdr:cNvPr>
        <xdr:cNvSpPr/>
      </xdr:nvSpPr>
      <xdr:spPr>
        <a:xfrm>
          <a:off x="7315200" y="929354"/>
          <a:ext cx="742950" cy="132017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Dilip Edara" refreshedDate="42903.730598842594" missingItemsLimit="0" createdVersion="5" refreshedVersion="6" minRefreshableVersion="3" recordCount="1">
  <cacheSource type="worksheet">
    <worksheetSource name="tblDataDump"/>
  </cacheSource>
  <cacheFields count="29">
    <cacheField name="tType" numFmtId="0">
      <sharedItems count="1">
        <s v="MP"/>
      </sharedItems>
    </cacheField>
    <cacheField name="WBS" numFmtId="49">
      <sharedItems/>
    </cacheField>
    <cacheField name="Task" numFmtId="0">
      <sharedItems count="1">
        <s v="Lead Generation"/>
      </sharedItems>
    </cacheField>
    <cacheField name="TaskLead" numFmtId="0">
      <sharedItems containsNonDate="0" containsString="0" containsBlank="1" count="1">
        <m/>
      </sharedItems>
    </cacheField>
    <cacheField name="TaskLeadCost" numFmtId="165">
      <sharedItems containsNonDate="0" containsString="0" containsBlank="1"/>
    </cacheField>
    <cacheField name="BSD" numFmtId="164">
      <sharedItems containsNonDate="0" containsString="0" containsBlank="1"/>
    </cacheField>
    <cacheField name="BED" numFmtId="164">
      <sharedItems containsNonDate="0" containsString="0" containsBlank="1"/>
    </cacheField>
    <cacheField name="BD" numFmtId="3">
      <sharedItems containsNonDate="0" containsString="0" containsBlank="1"/>
    </cacheField>
    <cacheField name="ESD" numFmtId="164">
      <sharedItems containsSemiMixedTypes="0" containsNonDate="0" containsDate="1" containsString="0" minDate="2016-09-01T00:00:00" maxDate="2016-09-02T00:00:00"/>
    </cacheField>
    <cacheField name="EED" numFmtId="164">
      <sharedItems containsSemiMixedTypes="0" containsNonDate="0" containsDate="1" containsString="0" minDate="2016-09-30T00:00:00" maxDate="2016-10-01T00:00:00"/>
    </cacheField>
    <cacheField name="ED" numFmtId="3">
      <sharedItems containsSemiMixedTypes="0" containsString="0" containsNumber="1" containsInteger="1" minValue="22" maxValue="22"/>
    </cacheField>
    <cacheField name="PercentageCompleted" numFmtId="9">
      <sharedItems containsSemiMixedTypes="0" containsString="0" containsNumber="1" containsInteger="1" minValue="0" maxValue="0"/>
    </cacheField>
    <cacheField name="ASD" numFmtId="164">
      <sharedItems containsNonDate="0" containsString="0" containsBlank="1"/>
    </cacheField>
    <cacheField name="AED" numFmtId="164">
      <sharedItems containsNonDate="0" containsString="0" containsBlank="1"/>
    </cacheField>
    <cacheField name="AD" numFmtId="3">
      <sharedItems containsNonDate="0" containsString="0" containsBlank="1"/>
    </cacheField>
    <cacheField name="BCS" numFmtId="165">
      <sharedItems containsSemiMixedTypes="0" containsString="0" containsNumber="1" containsInteger="1" minValue="0" maxValue="0"/>
    </cacheField>
    <cacheField name="ECS" numFmtId="165">
      <sharedItems containsSemiMixedTypes="0" containsString="0" containsNumber="1" containsInteger="1" minValue="0" maxValue="0"/>
    </cacheField>
    <cacheField name="ACS" numFmtId="165">
      <sharedItems containsNonDate="0" containsString="0" containsBlank="1"/>
    </cacheField>
    <cacheField name="Notes" numFmtId="9">
      <sharedItems containsNonDate="0" containsString="0" containsBlank="1"/>
    </cacheField>
    <cacheField name="CC1" numFmtId="0">
      <sharedItems containsNonDate="0" containsString="0" containsBlank="1"/>
    </cacheField>
    <cacheField name="CC2" numFmtId="0">
      <sharedItems containsNonDate="0" containsString="0" containsBlank="1"/>
    </cacheField>
    <cacheField name="CC3" numFmtId="0">
      <sharedItems containsNonDate="0" containsString="0" containsBlank="1"/>
    </cacheField>
    <cacheField name="CC4" numFmtId="0">
      <sharedItems containsNonDate="0" containsString="0" containsBlank="1"/>
    </cacheField>
    <cacheField name="CC5" numFmtId="0">
      <sharedItems containsNonDate="0" containsString="0" containsBlank="1"/>
    </cacheField>
    <cacheField name="CC6" numFmtId="0">
      <sharedItems containsNonDate="0" containsString="0" containsBlank="1"/>
    </cacheField>
    <cacheField name="CC7" numFmtId="0">
      <sharedItems containsNonDate="0" containsString="0" containsBlank="1"/>
    </cacheField>
    <cacheField name="CC8" numFmtId="0">
      <sharedItems containsNonDate="0" containsString="0" containsBlank="1"/>
    </cacheField>
    <cacheField name="CC9" numFmtId="0">
      <sharedItems containsNonDate="0" containsString="0" containsBlank="1"/>
    </cacheField>
    <cacheField name="CC10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s v="1"/>
    <x v="0"/>
    <x v="0"/>
    <m/>
    <m/>
    <m/>
    <m/>
    <d v="2016-09-01T00:00:00"/>
    <d v="2016-09-30T00:00:00"/>
    <n v="22"/>
    <n v="0"/>
    <m/>
    <m/>
    <m/>
    <n v="0"/>
    <n v="0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vtResourceDur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T4:BU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showAll="0"/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dataField="1" showAll="0"/>
    <pivotField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1">
    <i>
      <x/>
    </i>
  </rowItems>
  <colItems count="1">
    <i/>
  </colItems>
  <pageFields count="1">
    <pageField fld="0" hier="-1"/>
  </pageFields>
  <dataFields count="1">
    <dataField name="Sum of ED" fld="10" showDataAs="percentOfTotal" baseField="0" baseItem="0" numFmtId="9"/>
  </dataFields>
  <formats count="1">
    <format dxfId="32">
      <pivotArea type="all" dataOnly="0" outline="0" fieldPosition="0"/>
    </format>
  </formats>
  <chartFormats count="2"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PvtParentECS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62">
  <location ref="BJ4:BK5" firstHeaderRow="1" firstDataRow="1" firstDataCol="1" rowPageCount="1" colPageCount="1"/>
  <pivotFields count="29">
    <pivotField axis="axisPage" showAll="0" defaultSubtotal="0">
      <items count="1">
        <item x="0"/>
      </items>
    </pivotField>
    <pivotField showAll="0" defaultSubtotal="0"/>
    <pivotField axis="axisRow" showAll="0" measureFilter="1" sortType="ascending" defaultSubtotal="0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9"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">
    <i>
      <x/>
    </i>
  </rowItems>
  <colItems count="1">
    <i/>
  </colItems>
  <pageFields count="1">
    <pageField fld="0" hier="-1"/>
  </pageFields>
  <dataFields count="1">
    <dataField name="Sum of ECS" fld="16" baseField="2" baseItem="5" numFmtId="3"/>
  </dataFields>
  <formats count="1">
    <format dxfId="33">
      <pivotArea type="all" dataOnly="0" outline="0" fieldPosition="0"/>
    </format>
  </formats>
  <chartFormats count="3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count" evalOrder="-1" id="3" iMeasureFld="0">
      <autoFilter ref="A1">
        <filterColumn colId="0">
          <top10 val="5" filterVal="5"/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PvtParentPerc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N4:BO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">
    <i>
      <x/>
    </i>
  </rowItems>
  <colItems count="1">
    <i/>
  </colItems>
  <pageFields count="1">
    <pageField fld="0" hier="-1"/>
  </pageFields>
  <dataFields count="1">
    <dataField name="Average of PercentageCompleted" fld="11" subtotal="average" baseField="2" baseItem="2" numFmtId="9"/>
  </dataFields>
  <formats count="1">
    <format dxfId="34">
      <pivotArea type="all" dataOnly="0" outline="0" fieldPosition="0"/>
    </format>
  </formats>
  <chartFormats count="1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PvtResourcePerc" cacheId="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Q4:BR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1">
    <i>
      <x/>
    </i>
  </rowItems>
  <colItems count="1">
    <i/>
  </colItems>
  <pageFields count="1">
    <pageField fld="0" hier="-1"/>
  </pageFields>
  <dataFields count="1">
    <dataField name="Average of PercentageCompleted" fld="11" subtotal="average" baseField="2" baseItem="2" numFmtId="9"/>
  </dataFields>
  <formats count="1">
    <format dxfId="35">
      <pivotArea type="all" dataOnly="0" outline="0" fieldPosition="0"/>
    </format>
  </formats>
  <chartFormats count="4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blDataDump" displayName="tblDataDump" ref="AD2:BF3" totalsRowShown="0" headerRowDxfId="31" dataDxfId="30" tableBorderDxfId="29" headerRowCellStyle="Normal 3" dataCellStyle="Percent 2">
  <autoFilter ref="AD2:BF3"/>
  <tableColumns count="29">
    <tableColumn id="1" name="tType" dataDxfId="28"/>
    <tableColumn id="2" name="WBS" dataDxfId="27" dataCellStyle="Normal 3"/>
    <tableColumn id="3" name="Task" dataDxfId="26" dataCellStyle="Normal 3"/>
    <tableColumn id="4" name="TaskLead" dataDxfId="25" dataCellStyle="Normal 3"/>
    <tableColumn id="18" name="TaskLeadCost" dataDxfId="24" dataCellStyle="Normal 3"/>
    <tableColumn id="5" name="BSD" dataDxfId="23" dataCellStyle="Normal 3"/>
    <tableColumn id="6" name="BED" dataDxfId="22" dataCellStyle="Normal 3"/>
    <tableColumn id="7" name="BD" dataDxfId="21" dataCellStyle="Normal 3"/>
    <tableColumn id="8" name="ESD" dataDxfId="20" dataCellStyle="Normal 3"/>
    <tableColumn id="9" name="EED" dataDxfId="19" dataCellStyle="Normal 3"/>
    <tableColumn id="10" name="ED" dataDxfId="18" dataCellStyle="Normal 3"/>
    <tableColumn id="11" name="PercentageCompleted" dataDxfId="17" dataCellStyle="Normal 3"/>
    <tableColumn id="12" name="ASD" dataDxfId="16" dataCellStyle="Normal 3"/>
    <tableColumn id="13" name="AED" dataDxfId="15" dataCellStyle="Normal 3"/>
    <tableColumn id="14" name="AD" dataDxfId="14" dataCellStyle="Percent 2"/>
    <tableColumn id="15" name="BCS" dataDxfId="13" dataCellStyle="Percent 2"/>
    <tableColumn id="16" name="ECS" dataDxfId="12" dataCellStyle="Percent 2"/>
    <tableColumn id="17" name="ACS" dataDxfId="11" dataCellStyle="Percent 2"/>
    <tableColumn id="19" name="Notes" dataDxfId="10" dataCellStyle="Percent 2"/>
    <tableColumn id="20" name="CC1" dataDxfId="9" dataCellStyle="Percent 2"/>
    <tableColumn id="21" name="CC2" dataDxfId="8" dataCellStyle="Percent 2"/>
    <tableColumn id="22" name="CC3" dataDxfId="7" dataCellStyle="Percent 2"/>
    <tableColumn id="23" name="CC4" dataDxfId="6" dataCellStyle="Percent 2"/>
    <tableColumn id="24" name="CC5" dataDxfId="5" dataCellStyle="Percent 2"/>
    <tableColumn id="25" name="CC6" dataDxfId="4" dataCellStyle="Percent 2"/>
    <tableColumn id="26" name="CC7" dataDxfId="3" dataCellStyle="Percent 2"/>
    <tableColumn id="27" name="CC8" dataDxfId="2" dataCellStyle="Percent 2"/>
    <tableColumn id="28" name="CC9" dataDxfId="1" dataCellStyle="Percent 2"/>
    <tableColumn id="29" name="CC10" dataDxfId="0" dataCellStyle="Percent 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ganttexcel.com/gantt-excel-ultimate-2-40-documentation/?utm_source=Ex&amp;utm_medium=Doc" TargetMode="External"/><Relationship Id="rId2" Type="http://schemas.openxmlformats.org/officeDocument/2006/relationships/hyperlink" Target="https://goo.gl/P75w7e" TargetMode="External"/><Relationship Id="rId1" Type="http://schemas.openxmlformats.org/officeDocument/2006/relationships/hyperlink" Target="http://www.ganttexcel.com/gantt-excel-ultimate-2-40-documentation/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V40"/>
  <sheetViews>
    <sheetView showGridLines="0" showRowColHeaders="0" workbookViewId="0"/>
  </sheetViews>
  <sheetFormatPr defaultColWidth="9.140625" defaultRowHeight="15" x14ac:dyDescent="0.25"/>
  <cols>
    <col min="1" max="1" width="1" customWidth="1"/>
    <col min="2" max="2" width="12" customWidth="1"/>
    <col min="3" max="3" width="1.42578125" customWidth="1"/>
    <col min="4" max="14" width="9.140625" customWidth="1"/>
    <col min="15" max="15" width="9.42578125" customWidth="1"/>
    <col min="16" max="17" width="9.140625" customWidth="1"/>
    <col min="18" max="18" width="8.42578125" customWidth="1"/>
    <col min="19" max="19" width="9.140625" customWidth="1"/>
    <col min="20" max="20" width="9.42578125" customWidth="1"/>
    <col min="21" max="21" width="2" customWidth="1"/>
    <col min="22" max="22" width="0.85546875" customWidth="1"/>
  </cols>
  <sheetData>
    <row r="1" spans="1:22" ht="5.25" customHeight="1" x14ac:dyDescent="0.25">
      <c r="A1" s="1"/>
      <c r="B1" s="1" t="s">
        <v>9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</row>
    <row r="2" spans="1:22" x14ac:dyDescent="0.25">
      <c r="A2" s="1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8" t="s">
        <v>195</v>
      </c>
      <c r="U2" s="7"/>
      <c r="V2" s="1"/>
    </row>
    <row r="3" spans="1:22" x14ac:dyDescent="0.25">
      <c r="A3" s="1"/>
      <c r="B3" s="5"/>
      <c r="C3" s="5"/>
      <c r="J3" s="223" t="s">
        <v>8</v>
      </c>
      <c r="K3" s="223"/>
      <c r="L3" s="223"/>
      <c r="M3" s="223"/>
      <c r="N3" s="223"/>
      <c r="O3" s="223"/>
      <c r="P3" s="5"/>
      <c r="Q3" s="5"/>
      <c r="R3" s="5"/>
      <c r="S3" s="5"/>
      <c r="T3" s="5"/>
      <c r="U3" s="5"/>
      <c r="V3" s="1"/>
    </row>
    <row r="4" spans="1:22" x14ac:dyDescent="0.25">
      <c r="A4" s="1"/>
      <c r="B4" s="5"/>
      <c r="C4" s="5"/>
      <c r="J4" s="223"/>
      <c r="K4" s="223"/>
      <c r="L4" s="223"/>
      <c r="M4" s="223"/>
      <c r="N4" s="223"/>
      <c r="O4" s="223"/>
      <c r="P4" s="5"/>
      <c r="Q4" s="5"/>
      <c r="R4" s="228" t="s">
        <v>7</v>
      </c>
      <c r="S4" s="228"/>
      <c r="T4" s="228"/>
      <c r="U4" s="228"/>
      <c r="V4" s="1"/>
    </row>
    <row r="5" spans="1:22" ht="9.9499999999999993" customHeight="1" x14ac:dyDescent="0.25">
      <c r="A5" s="1"/>
      <c r="B5" s="5"/>
      <c r="C5" s="5"/>
      <c r="J5" s="153"/>
      <c r="K5" s="153"/>
      <c r="L5" s="153"/>
      <c r="M5" s="153"/>
      <c r="N5" s="153"/>
      <c r="O5" s="153"/>
      <c r="P5" s="5"/>
      <c r="Q5" s="5"/>
      <c r="R5" s="6"/>
      <c r="S5" s="5"/>
      <c r="T5" s="5"/>
      <c r="U5" s="5"/>
      <c r="V5" s="1"/>
    </row>
    <row r="6" spans="1:22" ht="2.1" customHeight="1" x14ac:dyDescent="0.25">
      <c r="A6" s="1"/>
      <c r="B6" s="163"/>
      <c r="C6" s="163"/>
      <c r="D6" s="1"/>
      <c r="E6" s="1"/>
      <c r="F6" s="1"/>
      <c r="G6" s="1"/>
      <c r="H6" s="1"/>
      <c r="I6" s="1"/>
      <c r="J6" s="164"/>
      <c r="K6" s="164"/>
      <c r="L6" s="164"/>
      <c r="M6" s="164"/>
      <c r="N6" s="164"/>
      <c r="O6" s="164"/>
      <c r="P6" s="163"/>
      <c r="Q6" s="163"/>
      <c r="R6" s="165"/>
      <c r="S6" s="163"/>
      <c r="T6" s="163"/>
      <c r="U6" s="163"/>
      <c r="V6" s="1"/>
    </row>
    <row r="7" spans="1:22" ht="2.1" customHeight="1" x14ac:dyDescent="0.25">
      <c r="A7" s="1"/>
      <c r="B7" s="166"/>
      <c r="C7" s="166"/>
      <c r="D7" s="167"/>
      <c r="E7" s="167"/>
      <c r="F7" s="167"/>
      <c r="G7" s="167"/>
      <c r="H7" s="167"/>
      <c r="I7" s="167"/>
      <c r="J7" s="168"/>
      <c r="K7" s="167"/>
      <c r="L7" s="169"/>
      <c r="M7" s="168"/>
      <c r="N7" s="168"/>
      <c r="O7" s="168"/>
      <c r="P7" s="166"/>
      <c r="Q7" s="166"/>
      <c r="R7" s="170"/>
      <c r="S7" s="166"/>
      <c r="T7" s="166"/>
      <c r="U7" s="166"/>
      <c r="V7" s="1"/>
    </row>
    <row r="8" spans="1:22" ht="0.95" customHeight="1" x14ac:dyDescent="0.25">
      <c r="A8" s="1"/>
      <c r="B8" s="156"/>
      <c r="C8" s="156"/>
      <c r="D8" s="156"/>
      <c r="E8" s="156"/>
      <c r="F8" s="156"/>
      <c r="G8" s="156"/>
      <c r="H8" s="156"/>
      <c r="I8" s="156"/>
      <c r="J8" s="156"/>
      <c r="K8" s="156"/>
      <c r="L8" s="157"/>
      <c r="M8" s="157"/>
      <c r="N8" s="157"/>
      <c r="O8" s="157"/>
      <c r="P8" s="158"/>
      <c r="Q8" s="157"/>
      <c r="R8" s="157"/>
      <c r="S8" s="158"/>
      <c r="T8" s="159"/>
      <c r="U8" s="160"/>
      <c r="V8" s="1"/>
    </row>
    <row r="9" spans="1:22" ht="15" customHeight="1" x14ac:dyDescent="0.25">
      <c r="A9" s="1"/>
      <c r="B9" s="226" t="s">
        <v>188</v>
      </c>
      <c r="C9" s="226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6"/>
      <c r="S9" s="226"/>
      <c r="T9" s="226"/>
      <c r="U9" s="226"/>
      <c r="V9" s="1"/>
    </row>
    <row r="10" spans="1:22" ht="15" customHeight="1" x14ac:dyDescent="0.25">
      <c r="A10" s="1"/>
      <c r="B10" s="226"/>
      <c r="C10" s="226"/>
      <c r="D10" s="226"/>
      <c r="E10" s="226"/>
      <c r="F10" s="226"/>
      <c r="G10" s="226"/>
      <c r="H10" s="226"/>
      <c r="I10" s="226"/>
      <c r="J10" s="226"/>
      <c r="K10" s="226"/>
      <c r="L10" s="226"/>
      <c r="M10" s="226"/>
      <c r="N10" s="226"/>
      <c r="O10" s="226"/>
      <c r="P10" s="226"/>
      <c r="Q10" s="226"/>
      <c r="R10" s="226"/>
      <c r="S10" s="226"/>
      <c r="T10" s="226"/>
      <c r="U10" s="226"/>
      <c r="V10" s="1"/>
    </row>
    <row r="11" spans="1:22" ht="15" customHeight="1" x14ac:dyDescent="0.25">
      <c r="A11" s="1"/>
      <c r="B11" s="227" t="s">
        <v>194</v>
      </c>
      <c r="C11" s="227"/>
      <c r="D11" s="227"/>
      <c r="E11" s="227"/>
      <c r="F11" s="227"/>
      <c r="G11" s="227"/>
      <c r="H11" s="227"/>
      <c r="I11" s="227"/>
      <c r="J11" s="227"/>
      <c r="K11" s="227"/>
      <c r="L11" s="227"/>
      <c r="M11" s="227"/>
      <c r="N11" s="227"/>
      <c r="O11" s="227"/>
      <c r="P11" s="227"/>
      <c r="Q11" s="227"/>
      <c r="R11" s="227"/>
      <c r="S11" s="227"/>
      <c r="T11" s="227"/>
      <c r="U11" s="227"/>
      <c r="V11" s="1"/>
    </row>
    <row r="12" spans="1:22" ht="15" customHeight="1" x14ac:dyDescent="0.25">
      <c r="A12" s="1"/>
      <c r="B12" s="156"/>
      <c r="C12" s="156"/>
      <c r="D12" s="156"/>
      <c r="E12" s="156"/>
      <c r="F12" s="156"/>
      <c r="G12" s="156"/>
      <c r="H12" s="156"/>
      <c r="I12" s="156"/>
      <c r="J12" s="156"/>
      <c r="K12" s="156"/>
      <c r="L12" s="157"/>
      <c r="M12" s="157"/>
      <c r="N12" s="157"/>
      <c r="O12" s="157"/>
      <c r="P12" s="158"/>
      <c r="Q12" s="157"/>
      <c r="R12" s="157"/>
      <c r="S12" s="158"/>
      <c r="T12" s="159"/>
      <c r="U12" s="160"/>
      <c r="V12" s="1"/>
    </row>
    <row r="13" spans="1:22" ht="15" customHeight="1" x14ac:dyDescent="0.25">
      <c r="A13" s="1"/>
      <c r="B13" s="156"/>
      <c r="C13" s="156"/>
      <c r="D13" s="161" t="s">
        <v>193</v>
      </c>
      <c r="E13" s="156"/>
      <c r="F13" s="156"/>
      <c r="G13" s="156"/>
      <c r="H13" s="156"/>
      <c r="I13" s="156"/>
      <c r="J13" s="156"/>
      <c r="K13" s="156"/>
      <c r="L13" s="156"/>
      <c r="M13" s="156"/>
      <c r="N13" s="156"/>
      <c r="O13" s="156"/>
      <c r="P13" s="158"/>
      <c r="Q13" s="158"/>
      <c r="R13" s="158"/>
      <c r="S13" s="158"/>
      <c r="T13" s="158"/>
      <c r="U13" s="158"/>
      <c r="V13" s="1"/>
    </row>
    <row r="14" spans="1:22" x14ac:dyDescent="0.25">
      <c r="A14" s="1"/>
      <c r="B14" s="162"/>
      <c r="C14" s="162"/>
      <c r="D14" s="224" t="s">
        <v>6</v>
      </c>
      <c r="E14" s="224"/>
      <c r="F14" s="224"/>
      <c r="G14" s="224"/>
      <c r="H14" s="224"/>
      <c r="I14" s="224"/>
      <c r="J14" s="224"/>
      <c r="K14" s="224"/>
      <c r="L14" s="224"/>
      <c r="M14" s="224"/>
      <c r="N14" s="224"/>
      <c r="O14" s="224"/>
      <c r="P14" s="224"/>
      <c r="Q14" s="224"/>
      <c r="R14" s="224"/>
      <c r="S14" s="154"/>
      <c r="T14" s="154"/>
      <c r="U14" s="154"/>
      <c r="V14" s="1"/>
    </row>
    <row r="15" spans="1:22" ht="15.75" customHeight="1" x14ac:dyDescent="0.25">
      <c r="A15" s="1"/>
      <c r="B15" s="162"/>
      <c r="C15" s="162"/>
      <c r="D15" s="225" t="s">
        <v>5</v>
      </c>
      <c r="E15" s="225"/>
      <c r="F15" s="225"/>
      <c r="G15" s="225"/>
      <c r="H15" s="225"/>
      <c r="I15" s="225"/>
      <c r="J15" s="225"/>
      <c r="K15" s="225"/>
      <c r="L15" s="225"/>
      <c r="M15" s="225"/>
      <c r="N15" s="225"/>
      <c r="O15" s="225"/>
      <c r="P15" s="225"/>
      <c r="Q15" s="225"/>
      <c r="R15" s="225"/>
      <c r="S15" s="225"/>
      <c r="T15" s="225"/>
      <c r="U15" s="225"/>
      <c r="V15" s="1"/>
    </row>
    <row r="16" spans="1:22" ht="15" customHeight="1" x14ac:dyDescent="0.25">
      <c r="A16" s="1"/>
      <c r="B16" s="162"/>
      <c r="C16" s="162"/>
      <c r="D16" s="221" t="s">
        <v>4</v>
      </c>
      <c r="E16" s="221"/>
      <c r="F16" s="221"/>
      <c r="G16" s="221"/>
      <c r="H16" s="221"/>
      <c r="I16" s="221"/>
      <c r="J16" s="221"/>
      <c r="K16" s="221"/>
      <c r="L16" s="221"/>
      <c r="M16" s="221"/>
      <c r="N16" s="221"/>
      <c r="O16" s="221"/>
      <c r="P16" s="221"/>
      <c r="Q16" s="221"/>
      <c r="R16" s="221"/>
      <c r="S16" s="221"/>
      <c r="T16" s="221"/>
      <c r="U16" s="4"/>
      <c r="V16" s="1"/>
    </row>
    <row r="17" spans="1:22" ht="7.5" customHeight="1" x14ac:dyDescent="0.25">
      <c r="A17" s="1"/>
      <c r="B17" s="162"/>
      <c r="C17" s="162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1"/>
    </row>
    <row r="18" spans="1:22" x14ac:dyDescent="0.25">
      <c r="A18" s="1"/>
      <c r="B18" s="162"/>
      <c r="C18" s="162"/>
      <c r="D18" s="221"/>
      <c r="E18" s="221"/>
      <c r="F18" s="221"/>
      <c r="G18" s="221"/>
      <c r="H18" s="221"/>
      <c r="I18" s="221"/>
      <c r="J18" s="221"/>
      <c r="K18" s="221"/>
      <c r="L18" s="221"/>
      <c r="M18" s="221"/>
      <c r="N18" s="221"/>
      <c r="O18" s="221"/>
      <c r="P18" s="221"/>
      <c r="Q18" s="221"/>
      <c r="R18" s="3"/>
      <c r="S18" s="3"/>
      <c r="T18" s="3"/>
      <c r="U18" s="3"/>
      <c r="V18" s="1"/>
    </row>
    <row r="19" spans="1:22" x14ac:dyDescent="0.25">
      <c r="A19" s="1"/>
      <c r="B19" s="162"/>
      <c r="C19" s="162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1"/>
    </row>
    <row r="20" spans="1:22" x14ac:dyDescent="0.25">
      <c r="A20" s="1"/>
      <c r="B20" s="162"/>
      <c r="C20" s="162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1"/>
    </row>
    <row r="21" spans="1:22" x14ac:dyDescent="0.25">
      <c r="A21" s="1"/>
      <c r="B21" s="162"/>
      <c r="C21" s="162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1"/>
    </row>
    <row r="22" spans="1:22" x14ac:dyDescent="0.25">
      <c r="A22" s="1"/>
      <c r="B22" s="162"/>
      <c r="C22" s="162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1"/>
    </row>
    <row r="23" spans="1:22" x14ac:dyDescent="0.25">
      <c r="A23" s="1"/>
      <c r="B23" s="162"/>
      <c r="C23" s="162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1"/>
    </row>
    <row r="24" spans="1:22" x14ac:dyDescent="0.25">
      <c r="A24" s="1"/>
      <c r="B24" s="162"/>
      <c r="C24" s="162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1"/>
    </row>
    <row r="25" spans="1:22" ht="9.9499999999999993" customHeight="1" x14ac:dyDescent="0.25">
      <c r="A25" s="1"/>
      <c r="B25" s="162"/>
      <c r="C25" s="162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1"/>
    </row>
    <row r="26" spans="1:22" x14ac:dyDescent="0.25">
      <c r="A26" s="1"/>
      <c r="B26" s="162"/>
      <c r="C26" s="162"/>
      <c r="D26" s="3"/>
      <c r="E26" s="221" t="s">
        <v>3</v>
      </c>
      <c r="F26" s="221"/>
      <c r="G26" s="221"/>
      <c r="H26" s="221"/>
      <c r="I26" s="221"/>
      <c r="J26" s="221"/>
      <c r="K26" s="221"/>
      <c r="L26" s="221"/>
      <c r="M26" s="221"/>
      <c r="N26" s="221"/>
      <c r="O26" s="221"/>
      <c r="P26" s="221"/>
      <c r="Q26" s="221"/>
      <c r="R26" s="221"/>
      <c r="S26" s="152"/>
      <c r="T26" s="152"/>
      <c r="U26" s="152"/>
      <c r="V26" s="1"/>
    </row>
    <row r="27" spans="1:22" x14ac:dyDescent="0.25">
      <c r="A27" s="1"/>
      <c r="B27" s="162"/>
      <c r="C27" s="162"/>
      <c r="D27" s="3"/>
      <c r="E27" s="221" t="s">
        <v>2</v>
      </c>
      <c r="F27" s="221"/>
      <c r="G27" s="221"/>
      <c r="H27" s="221"/>
      <c r="I27" s="221"/>
      <c r="J27" s="221"/>
      <c r="K27" s="221"/>
      <c r="L27" s="221"/>
      <c r="M27" s="221"/>
      <c r="N27" s="221"/>
      <c r="O27" s="221"/>
      <c r="P27" s="221"/>
      <c r="Q27" s="221"/>
      <c r="R27" s="221"/>
      <c r="S27" s="152"/>
      <c r="T27" s="152"/>
      <c r="U27" s="152"/>
      <c r="V27" s="1"/>
    </row>
    <row r="28" spans="1:22" x14ac:dyDescent="0.25">
      <c r="A28" s="1"/>
      <c r="B28" s="162"/>
      <c r="C28" s="162"/>
      <c r="D28" s="3"/>
      <c r="E28" s="152"/>
      <c r="F28" s="152"/>
      <c r="G28" s="152"/>
      <c r="H28" s="152"/>
      <c r="I28" s="152"/>
      <c r="J28" s="152"/>
      <c r="K28" s="152"/>
      <c r="L28" s="152"/>
      <c r="M28" s="152"/>
      <c r="N28" s="152"/>
      <c r="O28" s="152"/>
      <c r="P28" s="152"/>
      <c r="Q28" s="152"/>
      <c r="R28" s="152"/>
      <c r="S28" s="152"/>
      <c r="T28" s="152"/>
      <c r="U28" s="152"/>
      <c r="V28" s="1"/>
    </row>
    <row r="29" spans="1:22" x14ac:dyDescent="0.25">
      <c r="A29" s="1"/>
      <c r="B29" s="162"/>
      <c r="C29" s="162"/>
      <c r="D29" s="3"/>
      <c r="E29" s="222" t="s">
        <v>1</v>
      </c>
      <c r="F29" s="222"/>
      <c r="G29" s="222"/>
      <c r="H29" s="222"/>
      <c r="I29" s="222"/>
      <c r="J29" s="222"/>
      <c r="K29" s="222"/>
      <c r="L29" s="222"/>
      <c r="M29" s="222"/>
      <c r="N29" s="222"/>
      <c r="O29" s="222"/>
      <c r="P29" s="222"/>
      <c r="Q29" s="222"/>
      <c r="R29" s="222"/>
      <c r="S29" s="152"/>
      <c r="T29" s="152"/>
      <c r="U29" s="152"/>
      <c r="V29" s="1"/>
    </row>
    <row r="30" spans="1:22" x14ac:dyDescent="0.25">
      <c r="A30" s="1"/>
      <c r="B30" s="162"/>
      <c r="C30" s="162"/>
      <c r="D30" s="3"/>
      <c r="E30" s="221" t="s">
        <v>0</v>
      </c>
      <c r="F30" s="221"/>
      <c r="G30" s="221"/>
      <c r="H30" s="221"/>
      <c r="I30" s="221"/>
      <c r="J30" s="221"/>
      <c r="K30" s="221"/>
      <c r="L30" s="221"/>
      <c r="M30" s="221"/>
      <c r="N30" s="221"/>
      <c r="O30" s="221"/>
      <c r="P30" s="221"/>
      <c r="Q30" s="221"/>
      <c r="R30" s="221"/>
      <c r="S30" s="152"/>
      <c r="T30" s="152"/>
      <c r="U30" s="152"/>
      <c r="V30" s="1"/>
    </row>
    <row r="31" spans="1:22" x14ac:dyDescent="0.25">
      <c r="A31" s="1"/>
      <c r="B31" s="162"/>
      <c r="C31" s="162"/>
      <c r="D31" s="3"/>
      <c r="E31" s="155"/>
      <c r="F31" s="152"/>
      <c r="G31" s="152"/>
      <c r="H31" s="152"/>
      <c r="I31" s="152"/>
      <c r="J31" s="152"/>
      <c r="K31" s="152"/>
      <c r="L31" s="152"/>
      <c r="M31" s="152"/>
      <c r="N31" s="152"/>
      <c r="O31" s="152"/>
      <c r="P31" s="152"/>
      <c r="Q31" s="152"/>
      <c r="R31" s="152"/>
      <c r="S31" s="152"/>
      <c r="T31" s="152"/>
      <c r="U31" s="152"/>
      <c r="V31" s="1"/>
    </row>
    <row r="32" spans="1:22" ht="5.0999999999999996" customHeight="1" x14ac:dyDescent="0.25">
      <c r="A32" s="1"/>
      <c r="B32" s="162"/>
      <c r="C32" s="162"/>
      <c r="D32" s="3"/>
      <c r="E32" s="152"/>
      <c r="F32" s="152"/>
      <c r="G32" s="152"/>
      <c r="H32" s="152"/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"/>
    </row>
    <row r="33" spans="1:22" ht="3.95" customHeight="1" x14ac:dyDescent="0.25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1"/>
    </row>
    <row r="34" spans="1:22" ht="3.75" customHeigh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</row>
    <row r="40" spans="1:22" x14ac:dyDescent="0.25">
      <c r="G40" s="151"/>
    </row>
  </sheetData>
  <sheetProtection selectLockedCells="1" selectUnlockedCells="1"/>
  <mergeCells count="12">
    <mergeCell ref="E30:R30"/>
    <mergeCell ref="E29:R29"/>
    <mergeCell ref="J3:O4"/>
    <mergeCell ref="D18:Q18"/>
    <mergeCell ref="E27:R27"/>
    <mergeCell ref="E26:R26"/>
    <mergeCell ref="D14:R14"/>
    <mergeCell ref="D15:U15"/>
    <mergeCell ref="D16:T16"/>
    <mergeCell ref="B9:U10"/>
    <mergeCell ref="B11:U11"/>
    <mergeCell ref="R4:U4"/>
  </mergeCells>
  <hyperlinks>
    <hyperlink ref="R4" r:id="rId1"/>
    <hyperlink ref="B11:U11" r:id="rId2" display="Click here to help you Enable Macros"/>
    <hyperlink ref="R4:U4" r:id="rId3" display="CLICK HERE FOR DOCUMENTATION"/>
  </hyperlinks>
  <pageMargins left="0.7" right="0.7" top="0.75" bottom="0.75" header="0.3" footer="0.3"/>
  <pageSetup paperSize="9" orientation="portrait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Y89"/>
  <sheetViews>
    <sheetView showGridLines="0" showRowColHeaders="0" workbookViewId="0">
      <pane ySplit="2" topLeftCell="A3" activePane="bottomLeft" state="frozen"/>
      <selection pane="bottomLeft" activeCell="D2" sqref="D2:E2"/>
    </sheetView>
  </sheetViews>
  <sheetFormatPr defaultColWidth="0" defaultRowHeight="15" x14ac:dyDescent="0.25"/>
  <cols>
    <col min="1" max="1" width="0.85546875" customWidth="1"/>
    <col min="2" max="2" width="63" customWidth="1"/>
    <col min="3" max="3" width="10" customWidth="1"/>
    <col min="4" max="4" width="23.85546875" bestFit="1" customWidth="1"/>
    <col min="5" max="5" width="21.42578125" customWidth="1"/>
    <col min="6" max="6" width="13.42578125" customWidth="1"/>
    <col min="7" max="7" width="2.7109375" style="51" customWidth="1"/>
    <col min="8" max="8" width="0.140625" hidden="1" customWidth="1"/>
    <col min="9" max="21" width="0.140625" style="9" hidden="1" customWidth="1"/>
    <col min="22" max="27" width="16" style="9" hidden="1" customWidth="1"/>
    <col min="28" max="29" width="0.140625" style="9" hidden="1" customWidth="1"/>
    <col min="30" max="40" width="16" style="10" hidden="1" customWidth="1"/>
    <col min="41" max="41" width="16" style="12" hidden="1" customWidth="1"/>
    <col min="42" max="48" width="16" style="10" hidden="1" customWidth="1"/>
    <col min="49" max="58" width="16" style="11" hidden="1" customWidth="1"/>
    <col min="59" max="60" width="16" style="10" hidden="1" customWidth="1"/>
    <col min="61" max="61" width="16" style="9" hidden="1" customWidth="1"/>
    <col min="62" max="62" width="21.7109375" style="9" hidden="1" customWidth="1"/>
    <col min="63" max="63" width="17.85546875" style="9" hidden="1" customWidth="1"/>
    <col min="64" max="65" width="16" style="9" hidden="1" customWidth="1"/>
    <col min="66" max="66" width="21.7109375" style="9" hidden="1" customWidth="1"/>
    <col min="67" max="67" width="31.5703125" style="9" hidden="1" customWidth="1"/>
    <col min="68" max="68" width="16" style="9" hidden="1" customWidth="1"/>
    <col min="69" max="69" width="13.140625" style="9" hidden="1" customWidth="1"/>
    <col min="70" max="70" width="31.5703125" style="9" hidden="1" customWidth="1"/>
    <col min="71" max="71" width="16" style="9" hidden="1" customWidth="1"/>
    <col min="72" max="72" width="13.140625" style="9" hidden="1" customWidth="1"/>
    <col min="73" max="73" width="9.85546875" style="9" hidden="1" customWidth="1"/>
    <col min="74" max="77" width="0" style="9" hidden="1" customWidth="1"/>
    <col min="78" max="16384" width="16" style="9" hidden="1"/>
  </cols>
  <sheetData>
    <row r="1" spans="1:77" ht="6" customHeight="1" x14ac:dyDescent="0.25">
      <c r="A1" s="51"/>
      <c r="F1" s="51"/>
      <c r="H1" s="51"/>
      <c r="Y1" s="14"/>
      <c r="Z1" s="14"/>
      <c r="AA1" s="14"/>
      <c r="AB1" s="14"/>
      <c r="AC1" s="14"/>
    </row>
    <row r="2" spans="1:77" ht="20.25" thickBot="1" x14ac:dyDescent="0.3">
      <c r="A2" s="2"/>
      <c r="B2" s="230" t="s">
        <v>59</v>
      </c>
      <c r="C2" s="230"/>
      <c r="D2" s="231"/>
      <c r="E2" s="231"/>
      <c r="F2" s="50"/>
      <c r="G2" s="49"/>
      <c r="V2" s="132" t="s">
        <v>58</v>
      </c>
      <c r="W2" s="132" t="s">
        <v>57</v>
      </c>
      <c r="X2" s="133" t="s">
        <v>27</v>
      </c>
      <c r="Y2" s="134"/>
      <c r="Z2" s="135" t="s">
        <v>56</v>
      </c>
      <c r="AA2" s="136"/>
      <c r="AB2" s="48"/>
      <c r="AC2" s="48"/>
      <c r="AD2" s="47" t="s">
        <v>28</v>
      </c>
      <c r="AE2" s="46" t="s">
        <v>55</v>
      </c>
      <c r="AF2" s="44" t="s">
        <v>54</v>
      </c>
      <c r="AG2" s="44" t="s">
        <v>53</v>
      </c>
      <c r="AH2" s="44" t="s">
        <v>52</v>
      </c>
      <c r="AI2" s="44" t="s">
        <v>51</v>
      </c>
      <c r="AJ2" s="45" t="s">
        <v>50</v>
      </c>
      <c r="AK2" s="44" t="s">
        <v>49</v>
      </c>
      <c r="AL2" s="45" t="s">
        <v>48</v>
      </c>
      <c r="AM2" s="45" t="s">
        <v>46</v>
      </c>
      <c r="AN2" s="44" t="s">
        <v>44</v>
      </c>
      <c r="AO2" s="44" t="s">
        <v>43</v>
      </c>
      <c r="AP2" s="45" t="s">
        <v>47</v>
      </c>
      <c r="AQ2" s="45" t="s">
        <v>45</v>
      </c>
      <c r="AR2" s="43" t="s">
        <v>42</v>
      </c>
      <c r="AS2" s="43" t="s">
        <v>41</v>
      </c>
      <c r="AT2" s="43" t="s">
        <v>40</v>
      </c>
      <c r="AU2" s="43" t="s">
        <v>39</v>
      </c>
      <c r="AV2" s="42" t="s">
        <v>38</v>
      </c>
      <c r="AW2" s="42" t="s">
        <v>187</v>
      </c>
      <c r="AX2" s="41" t="s">
        <v>37</v>
      </c>
      <c r="AY2" s="41" t="s">
        <v>36</v>
      </c>
      <c r="AZ2" s="41" t="s">
        <v>35</v>
      </c>
      <c r="BA2" s="41" t="s">
        <v>34</v>
      </c>
      <c r="BB2" s="41" t="s">
        <v>33</v>
      </c>
      <c r="BC2" s="41" t="s">
        <v>32</v>
      </c>
      <c r="BD2" s="41" t="s">
        <v>31</v>
      </c>
      <c r="BE2" s="41" t="s">
        <v>30</v>
      </c>
      <c r="BF2" s="41" t="s">
        <v>29</v>
      </c>
      <c r="BG2" s="40"/>
      <c r="BH2" s="40"/>
      <c r="BI2" s="40"/>
      <c r="BJ2" s="30" t="s">
        <v>28</v>
      </c>
      <c r="BK2" s="9" t="s">
        <v>177</v>
      </c>
      <c r="BN2" s="30" t="s">
        <v>28</v>
      </c>
      <c r="BO2" s="9" t="s">
        <v>177</v>
      </c>
      <c r="BQ2" s="30" t="s">
        <v>28</v>
      </c>
      <c r="BR2" s="9" t="s">
        <v>177</v>
      </c>
      <c r="BT2" s="30" t="s">
        <v>28</v>
      </c>
      <c r="BU2" s="9" t="s">
        <v>177</v>
      </c>
      <c r="BW2"/>
      <c r="BX2"/>
      <c r="BY2"/>
    </row>
    <row r="3" spans="1:77" ht="24" customHeight="1" thickTop="1" x14ac:dyDescent="0.25">
      <c r="A3" s="2"/>
      <c r="B3" s="129" t="s">
        <v>27</v>
      </c>
      <c r="C3" s="124"/>
      <c r="D3" s="130" t="s">
        <v>26</v>
      </c>
      <c r="G3" s="2"/>
      <c r="V3" s="132" t="s">
        <v>166</v>
      </c>
      <c r="W3" s="132" t="s">
        <v>166</v>
      </c>
      <c r="X3" s="137">
        <f>IFERROR((SUMIFS(#REF!,#REF!,"T")+SUMIFS(#REF!,#REF!,"C"))/(COUNTIFS(#REF!,"T")+COUNTIFS(#REF!,"C")),0)</f>
        <v>0</v>
      </c>
      <c r="Y3" s="138">
        <f>100%-X3</f>
        <v>1</v>
      </c>
      <c r="Z3" s="135"/>
      <c r="AA3" s="136"/>
      <c r="AB3" s="13"/>
      <c r="AC3" s="13"/>
      <c r="AD3" s="39" t="s">
        <v>175</v>
      </c>
      <c r="AE3" s="38" t="s">
        <v>172</v>
      </c>
      <c r="AF3" s="37" t="s">
        <v>173</v>
      </c>
      <c r="AG3" s="37"/>
      <c r="AH3" s="36"/>
      <c r="AI3" s="141"/>
      <c r="AJ3" s="142"/>
      <c r="AK3" s="143"/>
      <c r="AL3" s="142">
        <v>42614</v>
      </c>
      <c r="AM3" s="142">
        <v>42643</v>
      </c>
      <c r="AN3" s="143">
        <v>22</v>
      </c>
      <c r="AO3" s="35">
        <v>0</v>
      </c>
      <c r="AP3" s="142"/>
      <c r="AQ3" s="142"/>
      <c r="AR3" s="144"/>
      <c r="AS3" s="33">
        <v>0</v>
      </c>
      <c r="AT3" s="33">
        <v>0</v>
      </c>
      <c r="AU3" s="33"/>
      <c r="AV3" s="21"/>
      <c r="AW3" s="34"/>
      <c r="AX3" s="34"/>
      <c r="AY3" s="34"/>
      <c r="AZ3" s="34"/>
      <c r="BA3" s="34"/>
      <c r="BB3" s="34"/>
      <c r="BC3" s="34"/>
      <c r="BD3" s="34"/>
      <c r="BE3" s="34"/>
      <c r="BF3" s="34"/>
      <c r="BG3" s="33"/>
      <c r="BH3" s="33"/>
      <c r="BI3" s="21"/>
      <c r="BJ3" s="32"/>
      <c r="BK3" s="31"/>
      <c r="BL3" s="31"/>
      <c r="BN3" s="32"/>
      <c r="BO3" s="31"/>
      <c r="BQ3" s="32"/>
      <c r="BR3" s="31"/>
      <c r="BT3" s="32"/>
      <c r="BU3" s="31"/>
      <c r="BW3"/>
      <c r="BX3"/>
      <c r="BY3"/>
    </row>
    <row r="4" spans="1:77" x14ac:dyDescent="0.25">
      <c r="A4" s="2"/>
      <c r="D4" s="121" t="s">
        <v>25</v>
      </c>
      <c r="E4" s="29" t="str">
        <f>IF(X3=0,"Planned",IF(X3=1,"Completed","In-Progress"))</f>
        <v>Planned</v>
      </c>
      <c r="F4" s="28"/>
      <c r="G4" s="2"/>
      <c r="V4" s="132"/>
      <c r="W4" s="132"/>
      <c r="X4" s="133"/>
      <c r="Y4" s="134"/>
      <c r="Z4" s="135"/>
      <c r="AA4" s="136"/>
      <c r="AB4" s="13"/>
      <c r="AC4" s="13"/>
      <c r="BI4" s="21"/>
      <c r="BJ4" s="30" t="s">
        <v>22</v>
      </c>
      <c r="BK4" s="9" t="s">
        <v>24</v>
      </c>
      <c r="BN4" s="30" t="s">
        <v>22</v>
      </c>
      <c r="BO4" s="9" t="s">
        <v>23</v>
      </c>
      <c r="BQ4" s="30" t="s">
        <v>22</v>
      </c>
      <c r="BR4" s="9" t="s">
        <v>23</v>
      </c>
      <c r="BT4" s="30" t="s">
        <v>22</v>
      </c>
      <c r="BU4" s="9" t="s">
        <v>21</v>
      </c>
      <c r="BW4"/>
      <c r="BX4"/>
      <c r="BY4"/>
    </row>
    <row r="5" spans="1:77" x14ac:dyDescent="0.25">
      <c r="A5" s="2"/>
      <c r="D5" s="17" t="s">
        <v>20</v>
      </c>
      <c r="E5" s="29"/>
      <c r="F5" s="28"/>
      <c r="G5" s="2"/>
      <c r="V5" s="132"/>
      <c r="W5" s="132"/>
      <c r="X5" s="133" t="s">
        <v>19</v>
      </c>
      <c r="Y5" s="134" t="s">
        <v>18</v>
      </c>
      <c r="Z5" s="135"/>
      <c r="AA5" s="136"/>
      <c r="AB5" s="13"/>
      <c r="AC5" s="13"/>
      <c r="BI5" s="21"/>
      <c r="BJ5" s="23" t="s">
        <v>173</v>
      </c>
      <c r="BK5" s="25">
        <v>0</v>
      </c>
      <c r="BL5" s="24"/>
      <c r="BN5" s="23" t="s">
        <v>173</v>
      </c>
      <c r="BO5" s="22">
        <v>0</v>
      </c>
      <c r="BQ5" s="23" t="s">
        <v>167</v>
      </c>
      <c r="BR5" s="22">
        <v>0</v>
      </c>
      <c r="BT5" s="23" t="s">
        <v>167</v>
      </c>
      <c r="BU5" s="22">
        <v>1</v>
      </c>
      <c r="BW5"/>
      <c r="BX5"/>
      <c r="BY5"/>
    </row>
    <row r="6" spans="1:77" x14ac:dyDescent="0.25">
      <c r="A6" s="2"/>
      <c r="D6" s="17" t="s">
        <v>17</v>
      </c>
      <c r="E6" s="27" t="e">
        <f>MIN(#REF!)</f>
        <v>#REF!</v>
      </c>
      <c r="F6" s="26"/>
      <c r="G6" s="2"/>
      <c r="V6" s="132"/>
      <c r="W6" s="132"/>
      <c r="X6" s="133" t="s">
        <v>16</v>
      </c>
      <c r="Y6" s="134" t="s">
        <v>174</v>
      </c>
      <c r="Z6" s="135" t="str">
        <f>$Y$5&amp;" "&amp;TEXT(Y6,"#,##0")</f>
        <v>$ 31,726</v>
      </c>
      <c r="AA6" s="136"/>
      <c r="AB6" s="13"/>
      <c r="AC6" s="13"/>
      <c r="BI6" s="21"/>
      <c r="BJ6"/>
      <c r="BK6"/>
      <c r="BL6" s="24"/>
      <c r="BN6"/>
      <c r="BO6"/>
      <c r="BQ6"/>
      <c r="BR6"/>
      <c r="BT6"/>
      <c r="BU6"/>
      <c r="BW6"/>
      <c r="BX6"/>
      <c r="BY6"/>
    </row>
    <row r="7" spans="1:77" x14ac:dyDescent="0.25">
      <c r="A7" s="2"/>
      <c r="D7" s="17" t="s">
        <v>15</v>
      </c>
      <c r="E7" s="27" t="e">
        <f>MAX(#REF!)</f>
        <v>#REF!</v>
      </c>
      <c r="F7" s="26"/>
      <c r="G7" s="2"/>
      <c r="V7" s="132"/>
      <c r="W7" s="132"/>
      <c r="X7" s="133" t="s">
        <v>14</v>
      </c>
      <c r="Y7" s="134" t="s">
        <v>171</v>
      </c>
      <c r="Z7" s="135" t="str">
        <f>$Y$5&amp;" "&amp;TEXT(Y7,"#,##0")</f>
        <v>$ 0</v>
      </c>
      <c r="AA7" s="136"/>
      <c r="AB7" s="13"/>
      <c r="AC7" s="13"/>
      <c r="BI7" s="21"/>
      <c r="BJ7"/>
      <c r="BK7"/>
      <c r="BL7" s="24"/>
      <c r="BN7"/>
      <c r="BO7"/>
      <c r="BQ7"/>
      <c r="BR7"/>
      <c r="BT7"/>
      <c r="BU7"/>
      <c r="BW7"/>
      <c r="BX7"/>
      <c r="BY7"/>
    </row>
    <row r="8" spans="1:77" x14ac:dyDescent="0.25">
      <c r="A8" s="2"/>
      <c r="D8" s="121" t="s">
        <v>13</v>
      </c>
      <c r="E8" s="19" t="e">
        <f>COUNTIFS(#REF!,"T")+COUNTIFS(#REF!,"C")</f>
        <v>#REF!</v>
      </c>
      <c r="F8" s="18"/>
      <c r="G8" s="2"/>
      <c r="V8" s="132"/>
      <c r="W8" s="132"/>
      <c r="X8" s="133" t="s">
        <v>12</v>
      </c>
      <c r="Y8" s="134" t="e">
        <f>SUMIFS(#REF!,#REF!,"T")+SUMIFS(#REF!,#REF!,"MP")</f>
        <v>#REF!</v>
      </c>
      <c r="Z8" s="134" t="e">
        <f>Y5&amp;" "&amp;TEXT(Y8,"#,##0")&amp;" spent"</f>
        <v>#REF!</v>
      </c>
      <c r="AA8" s="136"/>
      <c r="AB8" s="13"/>
      <c r="AC8" s="13"/>
      <c r="BI8" s="21"/>
      <c r="BJ8"/>
      <c r="BK8"/>
      <c r="BN8"/>
      <c r="BO8"/>
      <c r="BQ8"/>
      <c r="BR8"/>
      <c r="BT8"/>
      <c r="BU8"/>
      <c r="BW8"/>
      <c r="BX8"/>
      <c r="BY8"/>
    </row>
    <row r="9" spans="1:77" x14ac:dyDescent="0.25">
      <c r="A9" s="2"/>
      <c r="B9" s="232"/>
      <c r="C9" s="233"/>
      <c r="D9" s="17" t="s">
        <v>157</v>
      </c>
      <c r="E9" s="19" t="e">
        <f>COUNTIFS(#REF!,"T",#REF!,1)+COUNTIFS(#REF!,"C",#REF!,1)</f>
        <v>#REF!</v>
      </c>
      <c r="F9" s="18"/>
      <c r="G9" s="2"/>
      <c r="V9" s="132"/>
      <c r="W9" s="132"/>
      <c r="X9" s="133" t="s">
        <v>11</v>
      </c>
      <c r="Y9" s="138">
        <f>IFERROR(Y8/Y6,0)</f>
        <v>0</v>
      </c>
      <c r="Z9" s="138">
        <f>1-Y9</f>
        <v>1</v>
      </c>
      <c r="AA9" s="139"/>
      <c r="AB9" s="20"/>
      <c r="AC9" s="20"/>
      <c r="BJ9"/>
      <c r="BK9"/>
      <c r="BN9"/>
      <c r="BO9"/>
      <c r="BQ9"/>
      <c r="BR9"/>
      <c r="BT9"/>
      <c r="BU9"/>
      <c r="BW9"/>
      <c r="BX9"/>
      <c r="BY9"/>
    </row>
    <row r="10" spans="1:77" x14ac:dyDescent="0.25">
      <c r="A10" s="2"/>
      <c r="D10" s="17" t="s">
        <v>158</v>
      </c>
      <c r="E10" s="19" t="e">
        <f ca="1">COUNTIFS(#REF!,"T",#REF!,"&lt;"&amp;1,#REF!,"&gt;"&amp;0,#REF!,"&gt;="&amp;TODAY())+COUNTIFS(#REF!,"C",#REF!,"&lt;"&amp;1,#REF!,"&gt;"&amp;0,#REF!,"&gt;="&amp;TODAY())</f>
        <v>#REF!</v>
      </c>
      <c r="F10" s="18"/>
      <c r="G10" s="2"/>
      <c r="V10" s="132"/>
      <c r="W10" s="132"/>
      <c r="X10" s="132"/>
      <c r="Y10" s="140"/>
      <c r="Z10" s="140"/>
      <c r="AA10" s="140"/>
      <c r="AB10" s="14"/>
      <c r="AC10" s="14"/>
      <c r="BJ10"/>
      <c r="BK10"/>
      <c r="BN10"/>
      <c r="BO10"/>
      <c r="BQ10"/>
      <c r="BR10"/>
      <c r="BT10"/>
      <c r="BU10"/>
    </row>
    <row r="11" spans="1:77" x14ac:dyDescent="0.25">
      <c r="A11" s="2"/>
      <c r="D11" s="17" t="s">
        <v>159</v>
      </c>
      <c r="E11" s="19" t="e">
        <f ca="1">COUNTIFS(#REF!,"T",#REF!,0,#REF!,"&gt;="&amp;TODAY())+COUNTIFS(#REF!,"C",#REF!,0,#REF!,"&gt;="&amp;TODAY())</f>
        <v>#REF!</v>
      </c>
      <c r="F11" s="18"/>
      <c r="G11" s="2"/>
      <c r="V11" s="132"/>
      <c r="W11" s="132"/>
      <c r="X11" s="132" t="s">
        <v>165</v>
      </c>
      <c r="Y11" s="140" t="e">
        <f>SUMIFS(#REF!,#REF!,"T")+SUMIFS(#REF!,#REF!,"MP")</f>
        <v>#REF!</v>
      </c>
      <c r="Z11" s="135" t="e">
        <f>$Y$5&amp;" "&amp;TEXT(Y11,"#,##0")</f>
        <v>#REF!</v>
      </c>
      <c r="AA11" s="136"/>
      <c r="AB11" s="13"/>
      <c r="AC11" s="13"/>
      <c r="BJ11"/>
      <c r="BK11"/>
      <c r="BN11"/>
      <c r="BO11"/>
      <c r="BQ11"/>
      <c r="BR11"/>
      <c r="BT11"/>
      <c r="BU11"/>
    </row>
    <row r="12" spans="1:77" x14ac:dyDescent="0.25">
      <c r="A12" s="2"/>
      <c r="D12" s="17" t="s">
        <v>160</v>
      </c>
      <c r="E12" s="16" t="e">
        <f ca="1">COUNTIFS(#REF!,"T",#REF!,"&lt;&gt;"&amp;1,#REF!,"&lt;"&amp;TODAY())+COUNTIFS(#REF!,"C",#REF!,"&lt;&gt;"&amp;1,#REF!,"&lt;"&amp;TODAY())</f>
        <v>#REF!</v>
      </c>
      <c r="F12" s="15"/>
      <c r="G12" s="2"/>
      <c r="V12" s="132"/>
      <c r="W12" s="132"/>
      <c r="X12" s="132" t="s">
        <v>164</v>
      </c>
      <c r="Y12" s="140" t="e">
        <f>SUMIFS(#REF!,#REF!,"T")+SUMIFS(#REF!,#REF!,"MP")</f>
        <v>#REF!</v>
      </c>
      <c r="Z12" s="135" t="e">
        <f>$Y$5&amp;" "&amp;TEXT(Y12,"#,##0")</f>
        <v>#REF!</v>
      </c>
      <c r="AA12" s="136"/>
      <c r="AB12" s="13"/>
      <c r="AC12" s="13"/>
      <c r="BJ12"/>
      <c r="BK12"/>
      <c r="BN12"/>
      <c r="BO12"/>
      <c r="BQ12"/>
      <c r="BR12"/>
      <c r="BT12"/>
      <c r="BU12"/>
    </row>
    <row r="13" spans="1:77" ht="5.25" customHeight="1" x14ac:dyDescent="0.25">
      <c r="A13" s="2"/>
      <c r="B13" s="126"/>
      <c r="C13" s="127"/>
      <c r="D13" s="128"/>
      <c r="E13" s="2"/>
      <c r="F13" s="2"/>
      <c r="G13" s="2"/>
      <c r="V13" s="132"/>
      <c r="W13" s="132"/>
      <c r="X13" s="132" t="s">
        <v>163</v>
      </c>
      <c r="Y13" s="140" t="e">
        <f>SUMIFS(#REF!,#REF!,"T")+SUMIFS(#REF!,#REF!,"MP")</f>
        <v>#REF!</v>
      </c>
      <c r="Z13" s="135" t="e">
        <f>$Y$5&amp;" "&amp;TEXT(Y13,"#,##0")</f>
        <v>#REF!</v>
      </c>
      <c r="AA13" s="136"/>
      <c r="AB13" s="13"/>
      <c r="AC13" s="13"/>
      <c r="BJ13"/>
      <c r="BK13"/>
      <c r="BN13"/>
      <c r="BO13"/>
      <c r="BQ13"/>
      <c r="BR13"/>
      <c r="BT13"/>
      <c r="BU13"/>
    </row>
    <row r="14" spans="1:77" x14ac:dyDescent="0.25">
      <c r="A14" s="2"/>
      <c r="B14" s="229" t="s">
        <v>10</v>
      </c>
      <c r="C14" s="229"/>
      <c r="D14" s="229"/>
      <c r="E14" s="229"/>
      <c r="F14" s="229"/>
      <c r="G14" s="2"/>
      <c r="V14" s="132"/>
      <c r="W14" s="132"/>
      <c r="X14" s="132"/>
      <c r="Y14" s="140"/>
      <c r="Z14" s="136"/>
      <c r="AA14" s="136"/>
      <c r="AB14" s="13"/>
      <c r="AC14" s="13"/>
      <c r="BJ14"/>
      <c r="BK14"/>
      <c r="BN14"/>
      <c r="BO14"/>
      <c r="BQ14"/>
      <c r="BR14"/>
      <c r="BT14"/>
      <c r="BU14"/>
    </row>
    <row r="15" spans="1:77" s="122" customFormat="1" ht="15" customHeight="1" x14ac:dyDescent="0.25">
      <c r="A15" s="2"/>
      <c r="B15" s="51"/>
      <c r="C15" s="51"/>
      <c r="D15" s="51"/>
      <c r="E15" s="51"/>
      <c r="F15" s="51"/>
      <c r="G15" s="2"/>
      <c r="H15" s="51"/>
      <c r="V15" s="132"/>
      <c r="W15" s="132"/>
      <c r="X15" s="132"/>
      <c r="Y15" s="132"/>
      <c r="Z15" s="132"/>
      <c r="AA15" s="132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2"/>
      <c r="AP15" s="10"/>
      <c r="AQ15" s="10"/>
      <c r="AR15" s="10"/>
      <c r="AS15" s="10"/>
      <c r="AT15" s="10"/>
      <c r="AU15" s="10"/>
      <c r="AV15" s="10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23"/>
      <c r="BH15" s="123"/>
      <c r="BJ15"/>
      <c r="BK15"/>
      <c r="BN15"/>
      <c r="BO15"/>
      <c r="BQ15" s="51"/>
      <c r="BR15" s="51"/>
      <c r="BT15" s="51"/>
      <c r="BU15" s="51"/>
    </row>
    <row r="16" spans="1:77" x14ac:dyDescent="0.25">
      <c r="A16" s="2"/>
      <c r="G16" s="2"/>
      <c r="V16" s="132"/>
      <c r="W16" s="132"/>
      <c r="X16" s="132" t="e">
        <f ca="1">SUM(INDIRECT("'Project Dashboard'!E10:E12"))&amp;" Tasks Left"</f>
        <v>#REF!</v>
      </c>
      <c r="Y16" s="132"/>
      <c r="Z16" s="132"/>
      <c r="AA16" s="132"/>
      <c r="BJ16"/>
      <c r="BK16"/>
      <c r="BN16"/>
      <c r="BO16"/>
    </row>
    <row r="17" spans="1:67" ht="21" customHeight="1" x14ac:dyDescent="0.25">
      <c r="A17" s="2"/>
      <c r="G17" s="2"/>
      <c r="BJ17"/>
      <c r="BK17"/>
      <c r="BN17"/>
      <c r="BO17"/>
    </row>
    <row r="18" spans="1:67" ht="4.5" customHeight="1" x14ac:dyDescent="0.25">
      <c r="A18" s="2"/>
      <c r="B18" s="2"/>
      <c r="C18" s="2"/>
      <c r="D18" s="2"/>
      <c r="E18" s="2"/>
      <c r="F18" s="2"/>
      <c r="G18" s="2"/>
      <c r="BJ18"/>
      <c r="BK18"/>
      <c r="BN18"/>
      <c r="BO18"/>
    </row>
    <row r="19" spans="1:67" x14ac:dyDescent="0.25">
      <c r="A19" s="2"/>
      <c r="G19" s="2"/>
      <c r="BJ19"/>
      <c r="BK19"/>
      <c r="BN19"/>
      <c r="BO19"/>
    </row>
    <row r="20" spans="1:67" x14ac:dyDescent="0.25">
      <c r="A20" s="2"/>
      <c r="B20" s="125" t="s">
        <v>161</v>
      </c>
      <c r="D20" s="131" t="s">
        <v>162</v>
      </c>
      <c r="G20" s="2"/>
      <c r="X20"/>
      <c r="Y20"/>
      <c r="Z20"/>
      <c r="BJ20"/>
      <c r="BK20"/>
      <c r="BN20"/>
      <c r="BO20"/>
    </row>
    <row r="21" spans="1:67" x14ac:dyDescent="0.25">
      <c r="A21" s="2"/>
      <c r="G21" s="2"/>
      <c r="X21"/>
      <c r="Y21"/>
      <c r="Z21"/>
      <c r="BJ21"/>
      <c r="BK21"/>
      <c r="BN21"/>
      <c r="BO21"/>
    </row>
    <row r="22" spans="1:67" x14ac:dyDescent="0.25">
      <c r="A22" s="2"/>
      <c r="G22" s="2"/>
      <c r="X22"/>
      <c r="Y22"/>
      <c r="Z22"/>
      <c r="BJ22"/>
      <c r="BK22"/>
      <c r="BN22"/>
      <c r="BO22"/>
    </row>
    <row r="23" spans="1:67" x14ac:dyDescent="0.25">
      <c r="A23" s="2"/>
      <c r="G23" s="2"/>
      <c r="X23"/>
      <c r="Y23"/>
      <c r="Z23"/>
      <c r="BJ23"/>
      <c r="BK23"/>
      <c r="BN23"/>
      <c r="BO23"/>
    </row>
    <row r="24" spans="1:67" x14ac:dyDescent="0.25">
      <c r="A24" s="2"/>
      <c r="G24" s="2"/>
      <c r="BJ24"/>
      <c r="BK24"/>
      <c r="BN24"/>
      <c r="BO24"/>
    </row>
    <row r="25" spans="1:67" x14ac:dyDescent="0.25">
      <c r="A25" s="2"/>
      <c r="G25" s="2"/>
      <c r="BJ25"/>
      <c r="BK25"/>
      <c r="BN25"/>
      <c r="BO25"/>
    </row>
    <row r="26" spans="1:67" s="122" customFormat="1" ht="15" customHeight="1" x14ac:dyDescent="0.25">
      <c r="A26" s="2"/>
      <c r="B26"/>
      <c r="C26"/>
      <c r="D26"/>
      <c r="E26"/>
      <c r="F26"/>
      <c r="G26" s="2"/>
      <c r="H26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2"/>
      <c r="AP26" s="10"/>
      <c r="AQ26" s="10"/>
      <c r="AR26" s="10"/>
      <c r="AS26" s="10"/>
      <c r="AT26" s="10"/>
      <c r="AU26" s="10"/>
      <c r="AV26" s="10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23"/>
      <c r="BH26" s="123"/>
      <c r="BJ26"/>
      <c r="BK26"/>
      <c r="BN26"/>
      <c r="BO26"/>
    </row>
    <row r="27" spans="1:67" x14ac:dyDescent="0.25">
      <c r="A27" s="2"/>
      <c r="B27" s="51"/>
      <c r="C27" s="51"/>
      <c r="D27" s="51"/>
      <c r="E27" s="51"/>
      <c r="F27" s="51"/>
      <c r="G27" s="2"/>
      <c r="H27" s="51"/>
      <c r="BJ27"/>
      <c r="BK27"/>
      <c r="BN27"/>
      <c r="BO27"/>
    </row>
    <row r="28" spans="1:67" x14ac:dyDescent="0.25">
      <c r="A28" s="2"/>
      <c r="G28" s="2"/>
      <c r="BJ28"/>
      <c r="BK28"/>
      <c r="BN28"/>
      <c r="BO28"/>
    </row>
    <row r="29" spans="1:67" x14ac:dyDescent="0.25">
      <c r="A29" s="2"/>
      <c r="G29" s="2"/>
      <c r="BJ29"/>
      <c r="BK29"/>
      <c r="BN29"/>
      <c r="BO29"/>
    </row>
    <row r="30" spans="1:67" x14ac:dyDescent="0.25">
      <c r="A30" s="2"/>
      <c r="G30" s="2"/>
      <c r="BJ30"/>
      <c r="BK30"/>
      <c r="BN30"/>
      <c r="BO30"/>
    </row>
    <row r="31" spans="1:67" x14ac:dyDescent="0.25">
      <c r="A31" s="2"/>
      <c r="G31" s="2"/>
      <c r="BJ31"/>
      <c r="BK31"/>
      <c r="BN31"/>
      <c r="BO31"/>
    </row>
    <row r="32" spans="1:67" x14ac:dyDescent="0.25">
      <c r="A32" s="2"/>
      <c r="G32" s="2"/>
      <c r="BJ32"/>
      <c r="BK32"/>
      <c r="BN32"/>
      <c r="BO32"/>
    </row>
    <row r="33" spans="1:67" x14ac:dyDescent="0.25">
      <c r="A33" s="2"/>
      <c r="G33" s="2"/>
      <c r="BJ33"/>
      <c r="BK33"/>
      <c r="BN33"/>
      <c r="BO33"/>
    </row>
    <row r="34" spans="1:67" ht="15" customHeight="1" x14ac:dyDescent="0.25">
      <c r="A34" s="2"/>
      <c r="B34" s="51"/>
      <c r="C34" s="51"/>
      <c r="D34" s="51"/>
      <c r="E34" s="51"/>
      <c r="F34" s="51"/>
      <c r="G34" s="2"/>
      <c r="BJ34"/>
      <c r="BK34"/>
      <c r="BN34"/>
      <c r="BO34"/>
    </row>
    <row r="35" spans="1:67" ht="15" customHeight="1" x14ac:dyDescent="0.25">
      <c r="A35" s="2"/>
      <c r="B35" s="51"/>
      <c r="C35" s="51"/>
      <c r="D35" s="51"/>
      <c r="E35" s="51"/>
      <c r="F35" s="51"/>
      <c r="G35" s="2"/>
      <c r="BJ35"/>
      <c r="BK35"/>
      <c r="BN35"/>
      <c r="BO35"/>
    </row>
    <row r="36" spans="1:67" ht="5.0999999999999996" customHeight="1" x14ac:dyDescent="0.25">
      <c r="A36" s="2"/>
      <c r="B36" s="2"/>
      <c r="C36" s="2"/>
      <c r="D36" s="2"/>
      <c r="E36" s="2"/>
      <c r="F36" s="2"/>
      <c r="G36" s="2"/>
      <c r="BJ36"/>
      <c r="BK36"/>
      <c r="BN36"/>
      <c r="BO36"/>
    </row>
    <row r="37" spans="1:67" ht="5.0999999999999996" customHeight="1" x14ac:dyDescent="0.25">
      <c r="A37" s="2"/>
      <c r="B37" s="2"/>
      <c r="C37" s="2"/>
      <c r="D37" s="2"/>
      <c r="E37" s="2"/>
      <c r="F37" s="2"/>
      <c r="G37" s="2"/>
      <c r="BJ37"/>
      <c r="BK37"/>
      <c r="BN37"/>
      <c r="BO37"/>
    </row>
    <row r="38" spans="1:67" x14ac:dyDescent="0.25">
      <c r="A38" s="2"/>
      <c r="G38" s="2"/>
      <c r="BJ38"/>
      <c r="BK38"/>
      <c r="BN38"/>
      <c r="BO38"/>
    </row>
    <row r="39" spans="1:67" x14ac:dyDescent="0.25">
      <c r="A39" s="2"/>
      <c r="G39" s="2"/>
      <c r="BJ39"/>
      <c r="BK39"/>
      <c r="BN39"/>
      <c r="BO39"/>
    </row>
    <row r="40" spans="1:67" x14ac:dyDescent="0.25">
      <c r="A40" s="2"/>
      <c r="G40" s="2"/>
      <c r="BJ40"/>
      <c r="BK40"/>
      <c r="BN40"/>
      <c r="BO40"/>
    </row>
    <row r="41" spans="1:67" x14ac:dyDescent="0.25">
      <c r="A41" s="2"/>
      <c r="G41" s="2"/>
      <c r="BJ41"/>
      <c r="BK41"/>
      <c r="BN41"/>
      <c r="BO41"/>
    </row>
    <row r="42" spans="1:67" x14ac:dyDescent="0.25">
      <c r="A42" s="2"/>
      <c r="G42" s="2"/>
      <c r="BJ42"/>
      <c r="BK42"/>
      <c r="BN42"/>
      <c r="BO42"/>
    </row>
    <row r="43" spans="1:67" x14ac:dyDescent="0.25">
      <c r="A43" s="2"/>
      <c r="G43" s="2"/>
      <c r="BJ43"/>
      <c r="BK43"/>
      <c r="BN43"/>
      <c r="BO43"/>
    </row>
    <row r="44" spans="1:67" x14ac:dyDescent="0.25">
      <c r="A44" s="2"/>
      <c r="G44" s="2"/>
    </row>
    <row r="45" spans="1:67" x14ac:dyDescent="0.25">
      <c r="A45" s="2"/>
      <c r="G45" s="2"/>
    </row>
    <row r="46" spans="1:67" x14ac:dyDescent="0.25">
      <c r="A46" s="2"/>
      <c r="G46" s="2"/>
    </row>
    <row r="47" spans="1:67" x14ac:dyDescent="0.25">
      <c r="A47" s="2"/>
      <c r="G47" s="2"/>
    </row>
    <row r="48" spans="1:67" x14ac:dyDescent="0.25">
      <c r="A48" s="2"/>
      <c r="G48" s="2"/>
    </row>
    <row r="49" spans="1:7" x14ac:dyDescent="0.25">
      <c r="A49" s="2"/>
      <c r="G49" s="2"/>
    </row>
    <row r="50" spans="1:7" x14ac:dyDescent="0.25">
      <c r="A50" s="2"/>
      <c r="G50" s="2"/>
    </row>
    <row r="51" spans="1:7" x14ac:dyDescent="0.25">
      <c r="A51" s="2"/>
      <c r="G51" s="2"/>
    </row>
    <row r="52" spans="1:7" x14ac:dyDescent="0.25">
      <c r="A52" s="2"/>
      <c r="G52" s="2"/>
    </row>
    <row r="53" spans="1:7" x14ac:dyDescent="0.25">
      <c r="A53" s="2"/>
      <c r="G53" s="2"/>
    </row>
    <row r="54" spans="1:7" x14ac:dyDescent="0.25">
      <c r="A54" s="2"/>
      <c r="G54" s="2"/>
    </row>
    <row r="55" spans="1:7" x14ac:dyDescent="0.25">
      <c r="A55" s="2"/>
      <c r="G55" s="2"/>
    </row>
    <row r="56" spans="1:7" x14ac:dyDescent="0.25">
      <c r="A56" s="2"/>
      <c r="G56" s="2"/>
    </row>
    <row r="57" spans="1:7" x14ac:dyDescent="0.25">
      <c r="A57" s="2"/>
      <c r="G57" s="2"/>
    </row>
    <row r="58" spans="1:7" x14ac:dyDescent="0.25">
      <c r="A58" s="2"/>
      <c r="G58" s="2"/>
    </row>
    <row r="59" spans="1:7" x14ac:dyDescent="0.25">
      <c r="A59" s="2"/>
      <c r="G59" s="2"/>
    </row>
    <row r="60" spans="1:7" x14ac:dyDescent="0.25">
      <c r="A60" s="2"/>
      <c r="G60" s="2"/>
    </row>
    <row r="61" spans="1:7" x14ac:dyDescent="0.25">
      <c r="A61" s="2"/>
      <c r="G61" s="2"/>
    </row>
    <row r="62" spans="1:7" x14ac:dyDescent="0.25">
      <c r="A62" s="2"/>
      <c r="G62" s="2"/>
    </row>
    <row r="63" spans="1:7" x14ac:dyDescent="0.25">
      <c r="A63" s="2"/>
      <c r="G63" s="2"/>
    </row>
    <row r="64" spans="1:7" x14ac:dyDescent="0.25">
      <c r="A64" s="2"/>
      <c r="G64" s="2"/>
    </row>
    <row r="65" spans="1:7" x14ac:dyDescent="0.25">
      <c r="A65" s="2"/>
      <c r="G65" s="2"/>
    </row>
    <row r="66" spans="1:7" ht="21.75" customHeight="1" x14ac:dyDescent="0.25">
      <c r="A66" s="2"/>
      <c r="G66" s="2"/>
    </row>
    <row r="67" spans="1:7" ht="5.25" customHeight="1" x14ac:dyDescent="0.25">
      <c r="A67" s="2"/>
      <c r="G67" s="2"/>
    </row>
    <row r="68" spans="1:7" x14ac:dyDescent="0.25">
      <c r="A68" s="2"/>
      <c r="G68" s="2"/>
    </row>
    <row r="69" spans="1:7" x14ac:dyDescent="0.25">
      <c r="A69" s="2"/>
      <c r="B69" s="2"/>
      <c r="C69" s="2"/>
      <c r="D69" s="2"/>
      <c r="E69" s="2"/>
      <c r="F69" s="2"/>
      <c r="G69" s="2"/>
    </row>
    <row r="86" spans="7:7" ht="3.95" customHeight="1" x14ac:dyDescent="0.25"/>
    <row r="89" spans="7:7" x14ac:dyDescent="0.25">
      <c r="G89"/>
    </row>
  </sheetData>
  <sheetProtection formatCells="0" formatColumns="0" formatRows="0" autoFilter="0" pivotTables="0"/>
  <mergeCells count="4">
    <mergeCell ref="B14:F14"/>
    <mergeCell ref="B2:C2"/>
    <mergeCell ref="D2:E2"/>
    <mergeCell ref="B9:C9"/>
  </mergeCells>
  <conditionalFormatting sqref="E12">
    <cfRule type="cellIs" dxfId="36" priority="2" operator="greaterThan">
      <formula>0</formula>
    </cfRule>
  </conditionalFormatting>
  <dataValidations count="1">
    <dataValidation type="list" allowBlank="1" showInputMessage="1" showErrorMessage="1" sqref="D2:E2">
      <formula1>OFFSET($W$2,1,0,COUNTA($W:$W)-1,1)</formula1>
    </dataValidation>
  </dataValidations>
  <pageMargins left="0.25" right="0.25" top="0.5" bottom="0.5" header="0.3" footer="0.3"/>
  <pageSetup paperSize="9" orientation="landscape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8" name="btnRefreshDashboard">
              <controlPr defaultSize="0" print="0" autoFill="0" autoPict="0" macro="[0]!RefreshDashboard">
                <anchor>
                  <from>
                    <xdr:col>5</xdr:col>
                    <xdr:colOff>123825</xdr:colOff>
                    <xdr:row>1</xdr:row>
                    <xdr:rowOff>0</xdr:rowOff>
                  </from>
                  <to>
                    <xdr:col>5</xdr:col>
                    <xdr:colOff>676275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XFC34"/>
  <sheetViews>
    <sheetView showGridLines="0" showRowColHeaders="0" topLeftCell="G6" workbookViewId="0">
      <selection activeCell="G6" sqref="G6"/>
    </sheetView>
  </sheetViews>
  <sheetFormatPr defaultColWidth="0" defaultRowHeight="15.95" customHeight="1" x14ac:dyDescent="0.2"/>
  <cols>
    <col min="1" max="1" width="5.28515625" style="52" hidden="1" customWidth="1"/>
    <col min="2" max="2" width="3.140625" style="52" hidden="1" customWidth="1"/>
    <col min="3" max="3" width="11.42578125" style="52" hidden="1" customWidth="1"/>
    <col min="4" max="4" width="11" style="52" hidden="1" customWidth="1"/>
    <col min="5" max="5" width="13" style="52" hidden="1" customWidth="1"/>
    <col min="6" max="6" width="12.28515625" style="52" hidden="1" customWidth="1"/>
    <col min="7" max="7" width="4.140625" style="59" customWidth="1"/>
    <col min="8" max="8" width="40.42578125" style="58" customWidth="1"/>
    <col min="9" max="9" width="17.28515625" style="58" customWidth="1"/>
    <col min="10" max="10" width="10.85546875" style="194" hidden="1" customWidth="1"/>
    <col min="11" max="12" width="14.7109375" style="57" hidden="1" customWidth="1"/>
    <col min="13" max="13" width="10.42578125" style="56" hidden="1" customWidth="1"/>
    <col min="14" max="15" width="14.7109375" style="175" customWidth="1"/>
    <col min="16" max="16" width="8.85546875" style="188" customWidth="1"/>
    <col min="17" max="17" width="8.7109375" style="183" customWidth="1"/>
    <col min="18" max="19" width="14.7109375" style="57" hidden="1" customWidth="1"/>
    <col min="20" max="20" width="8.5703125" style="56" hidden="1" customWidth="1"/>
    <col min="21" max="23" width="7" style="191" hidden="1" customWidth="1"/>
    <col min="24" max="24" width="14.42578125" style="55" hidden="1" customWidth="1"/>
    <col min="25" max="25" width="7.42578125" style="55" hidden="1" customWidth="1"/>
    <col min="26" max="26" width="6.28515625" style="55" hidden="1" customWidth="1"/>
    <col min="27" max="27" width="6.85546875" style="55" hidden="1" customWidth="1"/>
    <col min="28" max="28" width="6" style="55" hidden="1" customWidth="1"/>
    <col min="29" max="84" width="2.42578125" style="54" customWidth="1"/>
    <col min="85" max="85" width="5.28515625" style="53" hidden="1"/>
    <col min="86" max="16383" width="5.28515625" style="52" hidden="1"/>
    <col min="16384" max="16384" width="0" style="52" hidden="1"/>
  </cols>
  <sheetData>
    <row r="1" spans="1:2129 15008:15068 15384:15392" ht="15" hidden="1" x14ac:dyDescent="0.25">
      <c r="A1" s="52" t="s">
        <v>28</v>
      </c>
      <c r="B1" s="52" t="s">
        <v>87</v>
      </c>
      <c r="C1" t="s">
        <v>86</v>
      </c>
      <c r="D1" s="52" t="s">
        <v>85</v>
      </c>
      <c r="E1" s="52" t="s">
        <v>84</v>
      </c>
      <c r="F1" s="52" t="s">
        <v>83</v>
      </c>
      <c r="G1" s="112" t="s">
        <v>55</v>
      </c>
      <c r="H1" s="111" t="s">
        <v>54</v>
      </c>
      <c r="I1" s="110" t="s">
        <v>53</v>
      </c>
      <c r="J1" s="108" t="s">
        <v>52</v>
      </c>
      <c r="K1" s="110" t="s">
        <v>51</v>
      </c>
      <c r="L1" s="109" t="s">
        <v>50</v>
      </c>
      <c r="M1" s="108" t="s">
        <v>49</v>
      </c>
      <c r="N1" s="171" t="s">
        <v>48</v>
      </c>
      <c r="O1" s="171" t="s">
        <v>46</v>
      </c>
      <c r="P1" s="184" t="s">
        <v>44</v>
      </c>
      <c r="Q1" s="176" t="s">
        <v>43</v>
      </c>
      <c r="R1" s="109" t="s">
        <v>47</v>
      </c>
      <c r="S1" s="109" t="s">
        <v>45</v>
      </c>
      <c r="T1" s="108" t="s">
        <v>42</v>
      </c>
      <c r="U1" s="198" t="s">
        <v>41</v>
      </c>
      <c r="V1" s="198" t="s">
        <v>40</v>
      </c>
      <c r="W1" s="198" t="s">
        <v>39</v>
      </c>
      <c r="X1" s="107" t="s">
        <v>38</v>
      </c>
      <c r="Y1" s="40" t="s">
        <v>156</v>
      </c>
      <c r="Z1" s="40" t="s">
        <v>155</v>
      </c>
      <c r="AA1" s="40" t="s">
        <v>183</v>
      </c>
      <c r="AB1" s="40" t="s">
        <v>184</v>
      </c>
      <c r="AC1" s="54" t="s">
        <v>154</v>
      </c>
      <c r="CF1" s="54" t="s">
        <v>153</v>
      </c>
      <c r="CCW1" s="52" t="s">
        <v>152</v>
      </c>
      <c r="VEF1" s="52" t="s">
        <v>151</v>
      </c>
      <c r="VEG1" s="52" t="s">
        <v>14</v>
      </c>
      <c r="VEH1" s="52" t="s">
        <v>16</v>
      </c>
      <c r="VEI1" s="52" t="s">
        <v>150</v>
      </c>
      <c r="VEJ1" s="52" t="s">
        <v>149</v>
      </c>
      <c r="VEK1" s="52" t="s">
        <v>148</v>
      </c>
      <c r="VEL1" s="52" t="s">
        <v>147</v>
      </c>
      <c r="VEM1" s="52" t="s">
        <v>146</v>
      </c>
      <c r="VEN1" s="52" t="s">
        <v>145</v>
      </c>
      <c r="VEO1" s="52" t="s">
        <v>144</v>
      </c>
      <c r="VEP1" s="52" t="s">
        <v>185</v>
      </c>
      <c r="VEQ1" s="52" t="s">
        <v>186</v>
      </c>
      <c r="VER1" s="52" t="s">
        <v>143</v>
      </c>
      <c r="VES1" s="52" t="s">
        <v>142</v>
      </c>
      <c r="VET1" s="52" t="s">
        <v>141</v>
      </c>
      <c r="VEU1" s="52" t="s">
        <v>140</v>
      </c>
      <c r="VEV1" s="52" t="s">
        <v>139</v>
      </c>
      <c r="VEW1" s="52" t="s">
        <v>138</v>
      </c>
      <c r="VEX1" s="52" t="s">
        <v>137</v>
      </c>
      <c r="VEY1" s="52" t="s">
        <v>136</v>
      </c>
      <c r="VEZ1" s="52" t="s">
        <v>135</v>
      </c>
      <c r="VFA1" s="52" t="s">
        <v>134</v>
      </c>
      <c r="VFB1" s="52" t="s">
        <v>133</v>
      </c>
      <c r="VFC1" s="52" t="s">
        <v>132</v>
      </c>
      <c r="VFD1" s="52" t="s">
        <v>131</v>
      </c>
      <c r="VFE1" s="52" t="s">
        <v>130</v>
      </c>
      <c r="VFF1" s="52" t="s">
        <v>129</v>
      </c>
      <c r="VFG1" s="52" t="s">
        <v>128</v>
      </c>
      <c r="VFH1" s="52" t="s">
        <v>127</v>
      </c>
      <c r="VFI1" s="52" t="s">
        <v>126</v>
      </c>
      <c r="VFJ1" s="52" t="s">
        <v>125</v>
      </c>
      <c r="VFK1" s="52" t="s">
        <v>179</v>
      </c>
      <c r="VFL1" s="52" t="s">
        <v>124</v>
      </c>
      <c r="VFM1" s="52" t="s">
        <v>123</v>
      </c>
      <c r="VFN1" s="52" t="s">
        <v>122</v>
      </c>
      <c r="VFO1" s="52" t="s">
        <v>121</v>
      </c>
      <c r="VFP1" s="52" t="s">
        <v>120</v>
      </c>
      <c r="VFQ1" s="52" t="s">
        <v>119</v>
      </c>
      <c r="VFR1" s="52" t="s">
        <v>118</v>
      </c>
      <c r="VFS1" s="52" t="s">
        <v>117</v>
      </c>
      <c r="VFT1" s="52" t="s">
        <v>116</v>
      </c>
      <c r="VFU1" s="52" t="s">
        <v>115</v>
      </c>
      <c r="VFV1" s="52" t="s">
        <v>114</v>
      </c>
      <c r="VFW1" s="52" t="s">
        <v>113</v>
      </c>
      <c r="VFX1" s="52" t="s">
        <v>112</v>
      </c>
      <c r="VFY1" s="52" t="s">
        <v>111</v>
      </c>
      <c r="VFZ1" s="52" t="s">
        <v>110</v>
      </c>
      <c r="VGA1" s="52" t="s">
        <v>109</v>
      </c>
      <c r="VGB1" s="52" t="s">
        <v>108</v>
      </c>
      <c r="VGC1" s="52" t="s">
        <v>107</v>
      </c>
      <c r="VGD1" s="52" t="s">
        <v>106</v>
      </c>
      <c r="VGE1" s="52" t="s">
        <v>105</v>
      </c>
      <c r="VGF1" s="52" t="s">
        <v>104</v>
      </c>
      <c r="VGG1" s="52" t="s">
        <v>103</v>
      </c>
      <c r="VGH1" s="52" t="s">
        <v>102</v>
      </c>
      <c r="VGI1" s="52" t="s">
        <v>168</v>
      </c>
      <c r="VGJ1" s="52" t="s">
        <v>169</v>
      </c>
      <c r="VGK1" s="52" t="s">
        <v>170</v>
      </c>
      <c r="VGL1" s="52" t="s">
        <v>178</v>
      </c>
      <c r="VGM1" s="52" t="s">
        <v>189</v>
      </c>
      <c r="VGN1" s="52" t="s">
        <v>190</v>
      </c>
    </row>
    <row r="2" spans="1:2129 15008:15068 15384:15392" ht="12.75" hidden="1" x14ac:dyDescent="0.2">
      <c r="A2" s="120" t="s">
        <v>101</v>
      </c>
      <c r="B2" s="120" t="s">
        <v>101</v>
      </c>
      <c r="C2" s="120" t="s">
        <v>101</v>
      </c>
      <c r="D2" s="120" t="s">
        <v>101</v>
      </c>
      <c r="E2" s="120" t="s">
        <v>101</v>
      </c>
      <c r="F2" s="120" t="s">
        <v>101</v>
      </c>
      <c r="G2" s="112" t="s">
        <v>101</v>
      </c>
      <c r="H2" s="111" t="s">
        <v>101</v>
      </c>
      <c r="I2" s="110" t="s">
        <v>101</v>
      </c>
      <c r="J2" s="108" t="s">
        <v>101</v>
      </c>
      <c r="K2" s="110" t="s">
        <v>101</v>
      </c>
      <c r="L2" s="109" t="s">
        <v>101</v>
      </c>
      <c r="M2" s="108" t="s">
        <v>101</v>
      </c>
      <c r="N2" s="171" t="s">
        <v>101</v>
      </c>
      <c r="O2" s="171" t="s">
        <v>101</v>
      </c>
      <c r="P2" s="184" t="s">
        <v>101</v>
      </c>
      <c r="Q2" s="177" t="s">
        <v>101</v>
      </c>
      <c r="R2" s="109" t="s">
        <v>101</v>
      </c>
      <c r="S2" s="109" t="s">
        <v>101</v>
      </c>
      <c r="T2" s="108" t="s">
        <v>101</v>
      </c>
      <c r="U2" s="184" t="s">
        <v>101</v>
      </c>
      <c r="V2" s="184" t="s">
        <v>101</v>
      </c>
      <c r="W2" s="184" t="s">
        <v>101</v>
      </c>
      <c r="X2" s="119" t="s">
        <v>101</v>
      </c>
      <c r="Y2" s="146" t="s">
        <v>101</v>
      </c>
      <c r="Z2" s="146" t="s">
        <v>101</v>
      </c>
      <c r="AA2" s="146" t="s">
        <v>101</v>
      </c>
      <c r="AB2" s="146" t="s">
        <v>101</v>
      </c>
      <c r="VEF2" s="115" t="b">
        <v>1</v>
      </c>
      <c r="VEG2" s="115"/>
      <c r="VEH2" s="115"/>
      <c r="VEI2" s="115"/>
      <c r="VEJ2" s="115">
        <v>0</v>
      </c>
      <c r="VEK2" s="118">
        <v>2158758</v>
      </c>
      <c r="VEL2" s="118">
        <v>9041872</v>
      </c>
      <c r="VEM2" s="118">
        <v>15773696</v>
      </c>
      <c r="VEN2" s="118">
        <v>10086143</v>
      </c>
      <c r="VEO2" s="115">
        <v>15773696</v>
      </c>
      <c r="VEP2" s="115">
        <v>0</v>
      </c>
      <c r="VEQ2" s="115">
        <v>0</v>
      </c>
      <c r="VER2" s="115" t="s">
        <v>18</v>
      </c>
      <c r="VES2" s="117"/>
      <c r="VET2" s="117"/>
      <c r="VEU2" s="117"/>
      <c r="VEV2" s="117"/>
      <c r="VEW2" s="115">
        <v>1</v>
      </c>
      <c r="VEX2" s="115" t="s">
        <v>100</v>
      </c>
      <c r="VEY2" s="115">
        <v>1</v>
      </c>
      <c r="VEZ2" s="115">
        <v>1</v>
      </c>
      <c r="VFA2" s="115">
        <v>1</v>
      </c>
      <c r="VFB2" s="115">
        <v>1</v>
      </c>
      <c r="VFC2" s="115"/>
      <c r="VFD2" s="115">
        <v>1</v>
      </c>
      <c r="VFE2" s="115">
        <v>1</v>
      </c>
      <c r="VFF2" s="115">
        <v>1</v>
      </c>
      <c r="VFG2" s="115">
        <v>1</v>
      </c>
      <c r="VFH2" s="115">
        <v>1</v>
      </c>
      <c r="VFI2" s="115"/>
      <c r="VFJ2" s="115">
        <v>1</v>
      </c>
      <c r="VFK2" s="52" t="s">
        <v>180</v>
      </c>
      <c r="VFL2" s="115">
        <v>1</v>
      </c>
      <c r="VFM2" s="116">
        <v>16</v>
      </c>
      <c r="VFN2" s="115">
        <v>0</v>
      </c>
      <c r="VFO2" s="52">
        <v>1</v>
      </c>
      <c r="VFP2" s="52">
        <v>1</v>
      </c>
      <c r="VFQ2" s="52" t="s">
        <v>196</v>
      </c>
      <c r="VFR2" s="52">
        <v>8</v>
      </c>
      <c r="VFS2" s="52">
        <v>0</v>
      </c>
      <c r="VFT2" s="52" t="s">
        <v>99</v>
      </c>
      <c r="VFU2" s="52">
        <v>1</v>
      </c>
      <c r="VFV2" s="52">
        <v>1</v>
      </c>
      <c r="VFW2" s="52">
        <v>0</v>
      </c>
      <c r="VFX2" s="114" t="s">
        <v>199</v>
      </c>
      <c r="VFY2" s="114" t="s">
        <v>198</v>
      </c>
      <c r="VFZ2" s="114" t="s">
        <v>197</v>
      </c>
      <c r="VGB2" s="52">
        <v>0</v>
      </c>
      <c r="VGC2" s="52">
        <v>25</v>
      </c>
      <c r="VGD2" s="52">
        <v>10</v>
      </c>
      <c r="VGE2" s="52" t="s">
        <v>54</v>
      </c>
      <c r="VGF2" s="52">
        <v>0</v>
      </c>
      <c r="VGG2" s="52">
        <v>0</v>
      </c>
      <c r="VGH2" s="52">
        <v>0</v>
      </c>
      <c r="VGI2" s="52">
        <v>12566463</v>
      </c>
      <c r="VGJ2" s="52">
        <v>16777164</v>
      </c>
      <c r="VGK2" s="77" t="s">
        <v>200</v>
      </c>
      <c r="VGL2" s="52" t="s">
        <v>201</v>
      </c>
      <c r="VGM2" s="52" t="s">
        <v>191</v>
      </c>
      <c r="VGN2" s="52" t="s">
        <v>192</v>
      </c>
    </row>
    <row r="3" spans="1:2129 15008:15068 15384:15392" ht="12.75" hidden="1" x14ac:dyDescent="0.2">
      <c r="A3" s="115"/>
      <c r="G3" s="112"/>
      <c r="H3" s="111"/>
      <c r="I3" s="110"/>
      <c r="J3" s="108"/>
      <c r="K3" s="110"/>
      <c r="L3" s="109"/>
      <c r="M3" s="108"/>
      <c r="N3" s="171"/>
      <c r="O3" s="171"/>
      <c r="P3" s="184"/>
      <c r="Q3" s="176"/>
      <c r="R3" s="109"/>
      <c r="S3" s="109"/>
      <c r="T3" s="108"/>
      <c r="U3" s="198"/>
      <c r="V3" s="198"/>
      <c r="W3" s="198"/>
      <c r="X3" s="107"/>
      <c r="Y3" s="40"/>
      <c r="Z3" s="40"/>
      <c r="AA3" s="40"/>
      <c r="AB3" s="40"/>
      <c r="VES3" s="113"/>
    </row>
    <row r="4" spans="1:2129 15008:15068 15384:15392" ht="12.75" hidden="1" x14ac:dyDescent="0.2">
      <c r="G4" s="112"/>
      <c r="H4" s="111"/>
      <c r="I4" s="110"/>
      <c r="J4" s="108"/>
      <c r="K4" s="110"/>
      <c r="L4" s="109"/>
      <c r="M4" s="108"/>
      <c r="N4" s="171"/>
      <c r="O4" s="171"/>
      <c r="P4" s="184"/>
      <c r="Q4" s="176"/>
      <c r="R4" s="109"/>
      <c r="S4" s="109"/>
      <c r="T4" s="108"/>
      <c r="U4" s="198"/>
      <c r="V4" s="198"/>
      <c r="W4" s="198"/>
      <c r="X4" s="107"/>
      <c r="Y4" s="40"/>
      <c r="Z4" s="40"/>
      <c r="AA4" s="40"/>
      <c r="AB4" s="40"/>
    </row>
    <row r="5" spans="1:2129 15008:15068 15384:15392" ht="12.75" hidden="1" x14ac:dyDescent="0.2">
      <c r="G5" s="112"/>
      <c r="H5" s="111"/>
      <c r="I5" s="110"/>
      <c r="J5" s="108"/>
      <c r="K5" s="110"/>
      <c r="L5" s="109"/>
      <c r="M5" s="108"/>
      <c r="N5" s="171"/>
      <c r="O5" s="171"/>
      <c r="P5" s="184"/>
      <c r="Q5" s="176"/>
      <c r="R5" s="109"/>
      <c r="S5" s="109"/>
      <c r="T5" s="108"/>
      <c r="U5" s="198"/>
      <c r="V5" s="198"/>
      <c r="W5" s="198"/>
      <c r="X5" s="107"/>
      <c r="Y5" s="40"/>
      <c r="Z5" s="40"/>
      <c r="AA5" s="40"/>
      <c r="AB5" s="40"/>
    </row>
    <row r="6" spans="1:2129 15008:15068 15384:15392" ht="20.25" customHeight="1" x14ac:dyDescent="0.2">
      <c r="G6" s="106" t="s">
        <v>98</v>
      </c>
      <c r="H6" s="105"/>
      <c r="I6" s="105"/>
      <c r="J6" s="195"/>
      <c r="K6" s="102"/>
      <c r="L6" s="102"/>
      <c r="M6" s="104"/>
      <c r="N6" s="103"/>
      <c r="O6" s="103"/>
      <c r="P6" s="185"/>
      <c r="Q6" s="178"/>
      <c r="R6" s="102"/>
      <c r="S6" s="102"/>
      <c r="T6" s="104"/>
      <c r="U6" s="185"/>
      <c r="V6" s="185"/>
      <c r="W6" s="185"/>
      <c r="X6" s="102"/>
      <c r="Y6" s="102"/>
      <c r="Z6" s="102"/>
      <c r="AA6" s="102"/>
      <c r="AB6" s="102"/>
      <c r="AC6" s="101">
        <v>42387</v>
      </c>
      <c r="AD6" s="101">
        <v>42388</v>
      </c>
      <c r="AE6" s="101">
        <v>42389</v>
      </c>
      <c r="AF6" s="101">
        <v>42390</v>
      </c>
      <c r="AG6" s="101">
        <v>42391</v>
      </c>
      <c r="AH6" s="101">
        <v>42392</v>
      </c>
      <c r="AI6" s="101">
        <v>42393</v>
      </c>
      <c r="AJ6" s="101">
        <v>42394</v>
      </c>
      <c r="AK6" s="101">
        <v>42395</v>
      </c>
      <c r="AL6" s="101">
        <v>42396</v>
      </c>
      <c r="AM6" s="101">
        <v>42397</v>
      </c>
      <c r="AN6" s="101">
        <v>42398</v>
      </c>
      <c r="AO6" s="101">
        <v>42399</v>
      </c>
      <c r="AP6" s="101">
        <v>42400</v>
      </c>
      <c r="AQ6" s="101">
        <v>42401</v>
      </c>
      <c r="AR6" s="101">
        <v>42402</v>
      </c>
      <c r="AS6" s="101">
        <v>42403</v>
      </c>
      <c r="AT6" s="101">
        <v>42404</v>
      </c>
      <c r="AU6" s="101">
        <v>42405</v>
      </c>
      <c r="AV6" s="101">
        <v>42406</v>
      </c>
      <c r="AW6" s="101">
        <v>42407</v>
      </c>
      <c r="AX6" s="101">
        <v>42408</v>
      </c>
      <c r="AY6" s="101">
        <v>42409</v>
      </c>
      <c r="AZ6" s="101">
        <v>42410</v>
      </c>
      <c r="BA6" s="101">
        <v>42411</v>
      </c>
      <c r="BB6" s="101">
        <v>42412</v>
      </c>
      <c r="BC6" s="101">
        <v>42413</v>
      </c>
      <c r="BD6" s="101">
        <v>42414</v>
      </c>
      <c r="BE6" s="101">
        <v>42415</v>
      </c>
      <c r="BF6" s="101">
        <v>42416</v>
      </c>
      <c r="BG6" s="101">
        <v>42417</v>
      </c>
      <c r="BH6" s="101">
        <v>42418</v>
      </c>
      <c r="BI6" s="101">
        <v>42419</v>
      </c>
      <c r="BJ6" s="101">
        <v>42420</v>
      </c>
      <c r="BK6" s="101">
        <v>42421</v>
      </c>
      <c r="BL6" s="101">
        <v>42422</v>
      </c>
      <c r="BM6" s="101">
        <v>42423</v>
      </c>
      <c r="BN6" s="101">
        <v>42424</v>
      </c>
      <c r="BO6" s="101">
        <v>42425</v>
      </c>
      <c r="BP6" s="101">
        <v>42426</v>
      </c>
      <c r="BQ6" s="101">
        <v>42427</v>
      </c>
      <c r="BR6" s="101">
        <v>42428</v>
      </c>
      <c r="BS6" s="101">
        <v>42429</v>
      </c>
      <c r="BT6" s="101">
        <v>42430</v>
      </c>
      <c r="BU6" s="101">
        <v>42431</v>
      </c>
      <c r="BV6" s="101">
        <v>42432</v>
      </c>
      <c r="BW6" s="101">
        <v>42433</v>
      </c>
      <c r="BX6" s="101">
        <v>42434</v>
      </c>
      <c r="BY6" s="101">
        <v>42435</v>
      </c>
      <c r="BZ6" s="101">
        <v>42436</v>
      </c>
      <c r="CA6" s="101">
        <v>42437</v>
      </c>
      <c r="CB6" s="101">
        <v>42438</v>
      </c>
      <c r="CC6" s="101">
        <v>42439</v>
      </c>
      <c r="CD6" s="101">
        <v>42440</v>
      </c>
      <c r="CE6" s="101">
        <v>42441</v>
      </c>
      <c r="CF6" s="101">
        <v>42442</v>
      </c>
      <c r="CG6" s="101">
        <v>42443</v>
      </c>
      <c r="CH6" s="101"/>
      <c r="CI6" s="101"/>
      <c r="CJ6" s="101"/>
      <c r="CK6" s="101"/>
      <c r="CL6" s="101"/>
      <c r="CM6" s="101"/>
      <c r="CN6" s="101"/>
      <c r="CO6" s="101"/>
      <c r="CP6" s="101"/>
      <c r="CQ6" s="101"/>
      <c r="CR6" s="101"/>
      <c r="CS6" s="101"/>
      <c r="CT6" s="101"/>
      <c r="CU6" s="101"/>
      <c r="CV6" s="101"/>
      <c r="CW6" s="101"/>
      <c r="CX6" s="101"/>
      <c r="CY6" s="101"/>
      <c r="CZ6" s="101"/>
      <c r="DA6" s="101"/>
      <c r="DB6" s="101"/>
      <c r="DC6" s="101"/>
      <c r="DD6" s="101"/>
      <c r="DE6" s="101"/>
      <c r="DF6" s="101"/>
      <c r="DG6" s="101"/>
      <c r="DH6" s="101"/>
      <c r="DI6" s="101"/>
      <c r="DJ6" s="101"/>
      <c r="DK6" s="101"/>
      <c r="DL6" s="101"/>
      <c r="DM6" s="101"/>
      <c r="DN6" s="101"/>
      <c r="DO6" s="101"/>
      <c r="DP6" s="101"/>
      <c r="DQ6" s="101"/>
      <c r="DR6" s="101"/>
      <c r="DS6" s="101"/>
      <c r="DT6" s="101"/>
      <c r="DU6" s="101"/>
      <c r="DV6" s="101"/>
      <c r="DW6" s="101"/>
      <c r="DX6" s="101"/>
      <c r="DY6" s="101"/>
      <c r="DZ6" s="101"/>
      <c r="EA6" s="101"/>
      <c r="EB6" s="101"/>
      <c r="EC6" s="101"/>
      <c r="ED6" s="101"/>
      <c r="EE6" s="101"/>
      <c r="EF6" s="101"/>
      <c r="EG6" s="101"/>
      <c r="EH6" s="101"/>
      <c r="EI6" s="101"/>
      <c r="EJ6" s="101"/>
      <c r="EK6" s="101"/>
      <c r="EL6" s="101"/>
      <c r="EM6" s="101"/>
      <c r="EN6" s="101"/>
      <c r="EO6" s="101"/>
      <c r="EP6" s="101"/>
      <c r="EQ6" s="101"/>
      <c r="ER6" s="101"/>
      <c r="ES6" s="101"/>
      <c r="ET6" s="101"/>
      <c r="EU6" s="101"/>
      <c r="EV6" s="101"/>
      <c r="EW6" s="101"/>
      <c r="EX6" s="101"/>
      <c r="EY6" s="101"/>
      <c r="EZ6" s="101"/>
      <c r="FA6" s="101"/>
      <c r="FB6" s="101"/>
      <c r="FC6" s="101"/>
      <c r="FD6" s="101"/>
      <c r="FE6" s="101"/>
      <c r="FF6" s="101"/>
      <c r="FG6" s="101"/>
      <c r="FH6" s="101"/>
      <c r="FI6" s="101"/>
      <c r="FJ6" s="101"/>
      <c r="FK6" s="101"/>
      <c r="FL6" s="101"/>
      <c r="FM6" s="101"/>
      <c r="FN6" s="101"/>
      <c r="FO6" s="101"/>
      <c r="FP6" s="101"/>
      <c r="FQ6" s="101"/>
      <c r="FR6" s="101"/>
      <c r="FS6" s="101"/>
      <c r="FT6" s="101"/>
      <c r="FU6" s="101"/>
      <c r="FV6" s="101"/>
      <c r="FW6" s="101"/>
      <c r="FX6" s="101"/>
      <c r="FY6" s="101"/>
      <c r="FZ6" s="101"/>
      <c r="GA6" s="101"/>
      <c r="GB6" s="101"/>
      <c r="GC6" s="101"/>
      <c r="GD6" s="101"/>
      <c r="GE6" s="101"/>
      <c r="GF6" s="101"/>
      <c r="GG6" s="101"/>
      <c r="GH6" s="101"/>
      <c r="GI6" s="101"/>
      <c r="GJ6" s="101"/>
      <c r="GK6" s="101"/>
      <c r="GL6" s="101"/>
      <c r="GM6" s="101"/>
      <c r="GN6" s="101"/>
      <c r="GO6" s="101"/>
      <c r="GP6" s="101"/>
      <c r="GQ6" s="101"/>
      <c r="GR6" s="101"/>
      <c r="GS6" s="101"/>
      <c r="GT6" s="101"/>
      <c r="GU6" s="101"/>
      <c r="GV6" s="101"/>
      <c r="GW6" s="101"/>
      <c r="GX6" s="101"/>
      <c r="GY6" s="101"/>
      <c r="GZ6" s="101"/>
      <c r="HA6" s="101"/>
      <c r="HB6" s="101"/>
      <c r="HC6" s="101"/>
      <c r="HD6" s="101"/>
      <c r="HE6" s="101"/>
      <c r="HF6" s="101"/>
      <c r="HG6" s="101"/>
      <c r="HH6" s="101"/>
      <c r="HI6" s="101"/>
      <c r="HJ6" s="101"/>
      <c r="HK6" s="101"/>
      <c r="HL6" s="101"/>
      <c r="HM6" s="101"/>
      <c r="HN6" s="101"/>
      <c r="HO6" s="101"/>
      <c r="HP6" s="101"/>
      <c r="HQ6" s="101"/>
      <c r="HR6" s="101"/>
      <c r="HS6" s="101"/>
      <c r="HT6" s="101"/>
      <c r="HU6" s="101"/>
      <c r="HV6" s="101"/>
      <c r="HW6" s="101"/>
      <c r="HX6" s="101"/>
      <c r="HY6" s="101"/>
      <c r="HZ6" s="101"/>
      <c r="IA6" s="101"/>
      <c r="IB6" s="101"/>
      <c r="IC6" s="101"/>
      <c r="ID6" s="101"/>
      <c r="IE6" s="101"/>
      <c r="IF6" s="101"/>
      <c r="IG6" s="101"/>
      <c r="IH6" s="101"/>
      <c r="II6" s="101"/>
      <c r="IJ6" s="101"/>
      <c r="IK6" s="101"/>
      <c r="IL6" s="101"/>
      <c r="IM6" s="101"/>
      <c r="IN6" s="101"/>
      <c r="IO6" s="101"/>
      <c r="IP6" s="101"/>
      <c r="IQ6" s="101"/>
      <c r="IR6" s="101"/>
      <c r="IS6" s="101"/>
      <c r="IT6" s="101"/>
      <c r="IU6" s="101"/>
      <c r="IV6" s="101"/>
      <c r="IW6" s="101"/>
      <c r="IX6" s="101"/>
      <c r="IY6" s="101"/>
      <c r="IZ6" s="101"/>
      <c r="JA6" s="101"/>
      <c r="JB6" s="101"/>
      <c r="JC6" s="101"/>
      <c r="JD6" s="101"/>
      <c r="JE6" s="101"/>
      <c r="JF6" s="101"/>
      <c r="JG6" s="101"/>
      <c r="JH6" s="101"/>
      <c r="JI6" s="101"/>
      <c r="JJ6" s="101"/>
      <c r="JK6" s="101"/>
      <c r="JL6" s="101"/>
      <c r="JM6" s="101"/>
      <c r="JN6" s="101"/>
      <c r="JO6" s="101"/>
      <c r="JP6" s="101"/>
      <c r="JQ6" s="101"/>
      <c r="JR6" s="101"/>
      <c r="JS6" s="101"/>
      <c r="JT6" s="101"/>
      <c r="JU6" s="101"/>
      <c r="JV6" s="101"/>
      <c r="JW6" s="101"/>
      <c r="JX6" s="101"/>
      <c r="JY6" s="101"/>
      <c r="JZ6" s="101"/>
      <c r="KA6" s="101"/>
      <c r="KB6" s="101"/>
      <c r="KC6" s="101"/>
      <c r="KD6" s="101"/>
      <c r="KE6" s="101"/>
      <c r="KF6" s="101"/>
      <c r="KG6" s="101"/>
      <c r="KH6" s="101"/>
      <c r="KI6" s="101"/>
      <c r="KJ6" s="101"/>
      <c r="KK6" s="101"/>
      <c r="KL6" s="101"/>
      <c r="KM6" s="101"/>
      <c r="KN6" s="101"/>
      <c r="KO6" s="101"/>
      <c r="KP6" s="101"/>
      <c r="KQ6" s="101"/>
      <c r="KR6" s="101"/>
      <c r="KS6" s="101"/>
      <c r="KT6" s="101"/>
      <c r="KU6" s="101"/>
      <c r="KV6" s="101"/>
      <c r="KW6" s="101"/>
      <c r="KX6" s="101"/>
      <c r="KY6" s="101"/>
      <c r="KZ6" s="101"/>
      <c r="LA6" s="101"/>
      <c r="LB6" s="101"/>
      <c r="LC6" s="101"/>
      <c r="LD6" s="101"/>
      <c r="LE6" s="101"/>
      <c r="LF6" s="101"/>
      <c r="LG6" s="101"/>
      <c r="LH6" s="101"/>
      <c r="LI6" s="101"/>
      <c r="LJ6" s="101"/>
      <c r="LK6" s="101"/>
      <c r="LL6" s="101"/>
      <c r="LM6" s="101"/>
      <c r="LN6" s="101"/>
      <c r="LO6" s="101"/>
      <c r="LP6" s="101"/>
      <c r="LQ6" s="101"/>
      <c r="LR6" s="101"/>
      <c r="LS6" s="101"/>
      <c r="LT6" s="101"/>
      <c r="LU6" s="101"/>
      <c r="LV6" s="101"/>
      <c r="LW6" s="101"/>
      <c r="LX6" s="101"/>
      <c r="LY6" s="101"/>
      <c r="LZ6" s="101"/>
      <c r="MA6" s="101"/>
      <c r="MB6" s="101"/>
      <c r="MC6" s="101"/>
      <c r="MD6" s="101"/>
      <c r="ME6" s="101"/>
      <c r="MF6" s="101"/>
      <c r="MG6" s="101"/>
      <c r="MH6" s="101"/>
      <c r="MI6" s="101"/>
      <c r="MJ6" s="101"/>
      <c r="MK6" s="101"/>
      <c r="ML6" s="101"/>
      <c r="MM6" s="101"/>
      <c r="MN6" s="101"/>
      <c r="MO6" s="101"/>
      <c r="MP6" s="101"/>
      <c r="MQ6" s="101"/>
      <c r="MR6" s="101"/>
      <c r="MS6" s="101"/>
      <c r="MT6" s="101"/>
      <c r="MU6" s="101"/>
      <c r="MV6" s="101"/>
      <c r="MW6" s="101"/>
      <c r="MX6" s="101"/>
      <c r="MY6" s="101"/>
      <c r="MZ6" s="101"/>
      <c r="NA6" s="101"/>
      <c r="NB6" s="101"/>
      <c r="NC6" s="101"/>
      <c r="ND6" s="101"/>
      <c r="NE6" s="101"/>
      <c r="NF6" s="101"/>
      <c r="NG6" s="101"/>
      <c r="NH6" s="101"/>
      <c r="NI6" s="101"/>
      <c r="NJ6" s="101"/>
      <c r="NK6" s="101"/>
      <c r="NL6" s="101"/>
      <c r="NM6" s="101"/>
      <c r="NN6" s="101"/>
      <c r="NO6" s="101"/>
      <c r="NP6" s="101"/>
      <c r="NQ6" s="101"/>
      <c r="NR6" s="101"/>
      <c r="NS6" s="101"/>
      <c r="NT6" s="101"/>
      <c r="NU6" s="101"/>
      <c r="NV6" s="101"/>
      <c r="NW6" s="101"/>
      <c r="NX6" s="101"/>
      <c r="NY6" s="101"/>
      <c r="NZ6" s="101"/>
      <c r="OA6" s="101"/>
      <c r="OB6" s="101"/>
      <c r="OC6" s="101"/>
      <c r="OD6" s="101"/>
      <c r="OE6" s="101"/>
      <c r="OF6" s="101"/>
      <c r="OG6" s="101"/>
      <c r="OH6" s="101"/>
      <c r="OI6" s="101"/>
      <c r="OJ6" s="101"/>
      <c r="OK6" s="101"/>
      <c r="OL6" s="101"/>
      <c r="OM6" s="101"/>
      <c r="ON6" s="101"/>
      <c r="OO6" s="101"/>
      <c r="OP6" s="101"/>
      <c r="OQ6" s="101"/>
      <c r="OR6" s="101"/>
      <c r="OS6" s="101"/>
      <c r="OT6" s="101"/>
      <c r="OU6" s="101"/>
      <c r="OV6" s="101"/>
      <c r="OW6" s="101"/>
      <c r="OX6" s="101"/>
      <c r="OY6" s="101"/>
      <c r="OZ6" s="101"/>
      <c r="PA6" s="101"/>
      <c r="PB6" s="101"/>
      <c r="PC6" s="101"/>
      <c r="PD6" s="101"/>
      <c r="PE6" s="101"/>
      <c r="PF6" s="101"/>
      <c r="PG6" s="101"/>
      <c r="PH6" s="101"/>
      <c r="PI6" s="101"/>
      <c r="PJ6" s="101"/>
      <c r="PK6" s="101"/>
      <c r="PL6" s="101"/>
      <c r="PM6" s="101"/>
      <c r="PN6" s="101"/>
      <c r="PO6" s="101"/>
      <c r="PP6" s="101"/>
      <c r="PQ6" s="101"/>
      <c r="PR6" s="101"/>
      <c r="PS6" s="101"/>
      <c r="PT6" s="101"/>
      <c r="PU6" s="101"/>
      <c r="PV6" s="101"/>
      <c r="PW6" s="101"/>
      <c r="PX6" s="101"/>
      <c r="PY6" s="101"/>
      <c r="PZ6" s="101"/>
      <c r="QA6" s="101"/>
      <c r="QB6" s="101"/>
      <c r="QC6" s="101"/>
      <c r="QD6" s="101"/>
      <c r="QE6" s="101"/>
      <c r="QF6" s="101"/>
      <c r="QG6" s="101"/>
      <c r="QH6" s="101"/>
      <c r="QI6" s="101"/>
      <c r="QJ6" s="101"/>
      <c r="QK6" s="101"/>
      <c r="QL6" s="101"/>
      <c r="QM6" s="101"/>
      <c r="QN6" s="101"/>
      <c r="QO6" s="101"/>
      <c r="QP6" s="101"/>
      <c r="QQ6" s="101"/>
      <c r="QR6" s="101"/>
      <c r="QS6" s="101"/>
      <c r="QT6" s="101"/>
      <c r="QU6" s="101"/>
      <c r="QV6" s="101"/>
      <c r="QW6" s="101"/>
      <c r="QX6" s="101"/>
      <c r="QY6" s="101"/>
      <c r="QZ6" s="101"/>
      <c r="RA6" s="101"/>
      <c r="RB6" s="101"/>
      <c r="RC6" s="101"/>
      <c r="RD6" s="101"/>
      <c r="RE6" s="101"/>
      <c r="RF6" s="101"/>
      <c r="RG6" s="101"/>
      <c r="RH6" s="101"/>
      <c r="RI6" s="101"/>
      <c r="RJ6" s="101"/>
      <c r="RK6" s="101"/>
      <c r="RL6" s="101"/>
      <c r="RM6" s="101"/>
      <c r="RN6" s="101"/>
      <c r="RO6" s="101"/>
      <c r="RP6" s="101"/>
      <c r="RQ6" s="101"/>
      <c r="RR6" s="101"/>
      <c r="RS6" s="101"/>
      <c r="RT6" s="101"/>
      <c r="RU6" s="101"/>
      <c r="RV6" s="101"/>
      <c r="RW6" s="101"/>
      <c r="RX6" s="101"/>
      <c r="RY6" s="101"/>
      <c r="RZ6" s="101"/>
      <c r="SA6" s="101"/>
      <c r="SB6" s="101"/>
      <c r="SC6" s="101"/>
      <c r="SD6" s="101"/>
      <c r="SE6" s="101"/>
      <c r="SF6" s="101"/>
      <c r="SG6" s="101"/>
      <c r="SH6" s="101"/>
      <c r="SI6" s="101"/>
      <c r="SJ6" s="101"/>
      <c r="SK6" s="101"/>
      <c r="SL6" s="101"/>
      <c r="SM6" s="101"/>
      <c r="SN6" s="101"/>
      <c r="SO6" s="101"/>
      <c r="SP6" s="101"/>
      <c r="SQ6" s="101"/>
      <c r="SR6" s="101"/>
      <c r="SS6" s="101"/>
      <c r="ST6" s="101"/>
      <c r="SU6" s="101"/>
      <c r="SV6" s="101"/>
      <c r="SW6" s="101"/>
      <c r="SX6" s="101"/>
      <c r="SY6" s="101"/>
      <c r="SZ6" s="101"/>
      <c r="TA6" s="101"/>
      <c r="TB6" s="101"/>
      <c r="TC6" s="101"/>
      <c r="TD6" s="101"/>
      <c r="TE6" s="101"/>
      <c r="TF6" s="101"/>
      <c r="TG6" s="101"/>
      <c r="TH6" s="101"/>
      <c r="TI6" s="101"/>
      <c r="TJ6" s="101"/>
      <c r="TK6" s="101"/>
      <c r="TL6" s="101"/>
      <c r="TM6" s="101"/>
      <c r="TN6" s="101"/>
      <c r="TO6" s="101"/>
      <c r="TP6" s="101"/>
      <c r="TQ6" s="101"/>
      <c r="TR6" s="101"/>
      <c r="TS6" s="101"/>
      <c r="TT6" s="101"/>
      <c r="TU6" s="101"/>
      <c r="TV6" s="101"/>
      <c r="TW6" s="101"/>
      <c r="TX6" s="101"/>
      <c r="TY6" s="101"/>
      <c r="TZ6" s="101"/>
      <c r="UA6" s="101"/>
      <c r="UB6" s="101"/>
      <c r="UC6" s="101"/>
      <c r="UD6" s="101"/>
      <c r="UE6" s="101"/>
      <c r="UF6" s="101"/>
      <c r="UG6" s="101"/>
      <c r="UH6" s="101"/>
      <c r="UI6" s="101"/>
      <c r="UJ6" s="101"/>
      <c r="UK6" s="101"/>
      <c r="UL6" s="101"/>
      <c r="UM6" s="101"/>
      <c r="UN6" s="101"/>
      <c r="UO6" s="101"/>
      <c r="UP6" s="101"/>
      <c r="UQ6" s="101"/>
      <c r="UR6" s="101"/>
      <c r="US6" s="101"/>
      <c r="UT6" s="101"/>
      <c r="UU6" s="101"/>
      <c r="UV6" s="101"/>
      <c r="UW6" s="101"/>
      <c r="UX6" s="101"/>
      <c r="UY6" s="101"/>
      <c r="UZ6" s="101"/>
      <c r="VA6" s="101"/>
      <c r="VB6" s="101"/>
      <c r="VC6" s="101"/>
      <c r="VD6" s="101"/>
      <c r="VE6" s="101"/>
      <c r="VF6" s="101"/>
      <c r="VG6" s="101"/>
      <c r="VH6" s="101"/>
      <c r="VI6" s="101"/>
      <c r="VJ6" s="101"/>
      <c r="VK6" s="101"/>
      <c r="VL6" s="101"/>
      <c r="VM6" s="101"/>
      <c r="VN6" s="101"/>
      <c r="VO6" s="101"/>
      <c r="VP6" s="101"/>
      <c r="VQ6" s="101"/>
      <c r="VR6" s="101"/>
      <c r="VS6" s="101"/>
      <c r="VT6" s="101"/>
      <c r="VU6" s="101"/>
      <c r="VV6" s="101"/>
      <c r="VW6" s="101"/>
      <c r="VX6" s="101"/>
      <c r="VY6" s="101"/>
      <c r="VZ6" s="101"/>
      <c r="WA6" s="101"/>
      <c r="WB6" s="101"/>
      <c r="WC6" s="101"/>
      <c r="WD6" s="101"/>
      <c r="WE6" s="101"/>
      <c r="WF6" s="101"/>
      <c r="WG6" s="101"/>
      <c r="WH6" s="101"/>
      <c r="WI6" s="101"/>
      <c r="WJ6" s="101"/>
      <c r="WK6" s="101"/>
      <c r="WL6" s="101"/>
      <c r="WM6" s="101"/>
      <c r="WN6" s="101"/>
      <c r="WO6" s="101"/>
      <c r="WP6" s="101"/>
      <c r="WQ6" s="101"/>
      <c r="WR6" s="101"/>
      <c r="WS6" s="101"/>
      <c r="WT6" s="101"/>
      <c r="WU6" s="101"/>
      <c r="WV6" s="101"/>
      <c r="WW6" s="101"/>
      <c r="WX6" s="101"/>
      <c r="WY6" s="101"/>
      <c r="WZ6" s="101"/>
      <c r="XA6" s="101"/>
      <c r="XB6" s="101"/>
      <c r="XC6" s="101"/>
      <c r="XD6" s="101"/>
      <c r="XE6" s="101"/>
      <c r="XF6" s="101"/>
      <c r="XG6" s="101"/>
      <c r="XH6" s="101"/>
      <c r="XI6" s="101"/>
      <c r="XJ6" s="101"/>
      <c r="XK6" s="101"/>
      <c r="XL6" s="101"/>
      <c r="XM6" s="101"/>
      <c r="XN6" s="101"/>
      <c r="XO6" s="101"/>
      <c r="XP6" s="101"/>
      <c r="XQ6" s="101"/>
      <c r="XR6" s="101"/>
      <c r="XS6" s="101"/>
      <c r="XT6" s="101"/>
      <c r="XU6" s="101"/>
      <c r="XV6" s="101"/>
      <c r="XW6" s="101"/>
      <c r="XX6" s="101"/>
      <c r="XY6" s="101"/>
      <c r="XZ6" s="101"/>
      <c r="YA6" s="101"/>
      <c r="YB6" s="101"/>
      <c r="YC6" s="101"/>
      <c r="YD6" s="101"/>
      <c r="YE6" s="101"/>
      <c r="YF6" s="101"/>
      <c r="YG6" s="101"/>
      <c r="YH6" s="101"/>
      <c r="YI6" s="101"/>
      <c r="YJ6" s="101"/>
      <c r="YK6" s="101"/>
      <c r="YL6" s="101"/>
      <c r="YM6" s="101"/>
      <c r="YN6" s="101"/>
      <c r="YO6" s="101"/>
      <c r="YP6" s="101"/>
      <c r="YQ6" s="101"/>
      <c r="YR6" s="101"/>
      <c r="YS6" s="101"/>
      <c r="YT6" s="101"/>
      <c r="YU6" s="101"/>
      <c r="YV6" s="101"/>
      <c r="YW6" s="101"/>
      <c r="YX6" s="101"/>
      <c r="YY6" s="101"/>
      <c r="YZ6" s="101"/>
      <c r="ZA6" s="101"/>
      <c r="ZB6" s="101"/>
      <c r="ZC6" s="101"/>
      <c r="ZD6" s="101"/>
      <c r="ZE6" s="101"/>
      <c r="ZF6" s="101"/>
      <c r="ZG6" s="101"/>
      <c r="ZH6" s="101"/>
      <c r="ZI6" s="101"/>
      <c r="ZJ6" s="101"/>
      <c r="ZK6" s="101"/>
      <c r="ZL6" s="101"/>
      <c r="ZM6" s="101"/>
      <c r="ZN6" s="101"/>
      <c r="ZO6" s="101"/>
      <c r="ZP6" s="101"/>
      <c r="ZQ6" s="101"/>
      <c r="ZR6" s="101"/>
      <c r="ZS6" s="101"/>
      <c r="ZT6" s="101"/>
      <c r="ZU6" s="101"/>
      <c r="ZV6" s="101"/>
      <c r="ZW6" s="101"/>
      <c r="ZX6" s="101"/>
      <c r="ZY6" s="101"/>
      <c r="ZZ6" s="101"/>
      <c r="AAA6" s="101"/>
      <c r="AAB6" s="101"/>
      <c r="AAC6" s="101"/>
      <c r="AAD6" s="101"/>
      <c r="AAE6" s="101"/>
      <c r="AAF6" s="101"/>
      <c r="AAG6" s="101"/>
      <c r="AAH6" s="101"/>
      <c r="AAI6" s="101"/>
      <c r="AAJ6" s="101"/>
      <c r="AAK6" s="101"/>
      <c r="AAL6" s="101"/>
      <c r="AAM6" s="101"/>
      <c r="AAN6" s="101"/>
      <c r="AAO6" s="101"/>
      <c r="AAP6" s="101"/>
      <c r="AAQ6" s="101"/>
      <c r="AAR6" s="101"/>
      <c r="AAS6" s="101"/>
      <c r="AAT6" s="101"/>
      <c r="AAU6" s="101"/>
      <c r="AAV6" s="101"/>
      <c r="AAW6" s="101"/>
      <c r="AAX6" s="101"/>
      <c r="AAY6" s="101"/>
      <c r="AAZ6" s="101"/>
      <c r="ABA6" s="101"/>
      <c r="ABB6" s="101"/>
      <c r="ABC6" s="101"/>
      <c r="ABD6" s="101"/>
      <c r="ABE6" s="101"/>
      <c r="ABF6" s="101"/>
      <c r="ABG6" s="101"/>
      <c r="ABH6" s="101"/>
      <c r="ABI6" s="101"/>
      <c r="ABJ6" s="101"/>
      <c r="ABK6" s="101"/>
      <c r="ABL6" s="101"/>
      <c r="ABM6" s="101"/>
      <c r="ABN6" s="101"/>
      <c r="ABO6" s="101"/>
      <c r="ABP6" s="101"/>
      <c r="ABQ6" s="101"/>
      <c r="ABR6" s="101"/>
      <c r="ABS6" s="101"/>
      <c r="ABT6" s="101"/>
      <c r="ABU6" s="101"/>
      <c r="ABV6" s="101"/>
      <c r="ABW6" s="101"/>
      <c r="ABX6" s="101"/>
      <c r="ABY6" s="101"/>
      <c r="ABZ6" s="101"/>
      <c r="ACA6" s="101"/>
      <c r="ACB6" s="101"/>
      <c r="ACC6" s="101"/>
      <c r="ACD6" s="101"/>
      <c r="ACE6" s="101"/>
      <c r="ACF6" s="101"/>
      <c r="ACG6" s="101"/>
      <c r="ACH6" s="101"/>
      <c r="ACI6" s="101"/>
      <c r="ACJ6" s="101"/>
      <c r="ACK6" s="101"/>
      <c r="ACL6" s="101"/>
      <c r="ACM6" s="101"/>
      <c r="ACN6" s="101"/>
      <c r="ACO6" s="101"/>
      <c r="ACP6" s="101"/>
      <c r="ACQ6" s="101"/>
      <c r="ACR6" s="101"/>
      <c r="ACS6" s="101"/>
      <c r="ACT6" s="101"/>
      <c r="ACU6" s="101"/>
      <c r="ACV6" s="101"/>
      <c r="ACW6" s="101"/>
      <c r="ACX6" s="101"/>
      <c r="ACY6" s="101"/>
      <c r="ACZ6" s="101"/>
      <c r="ADA6" s="101"/>
      <c r="ADB6" s="101"/>
      <c r="ADC6" s="101"/>
      <c r="ADD6" s="101"/>
      <c r="ADE6" s="101"/>
      <c r="ADF6" s="101"/>
      <c r="ADG6" s="101"/>
      <c r="ADH6" s="101"/>
      <c r="ADI6" s="101"/>
      <c r="ADJ6" s="101"/>
      <c r="ADK6" s="101"/>
      <c r="ADL6" s="101"/>
      <c r="ADM6" s="101"/>
      <c r="ADN6" s="101"/>
      <c r="ADO6" s="101"/>
      <c r="ADP6" s="101"/>
      <c r="ADQ6" s="101"/>
      <c r="ADR6" s="101"/>
      <c r="ADS6" s="101"/>
      <c r="ADT6" s="101"/>
      <c r="ADU6" s="101"/>
      <c r="ADV6" s="101"/>
      <c r="ADW6" s="101"/>
      <c r="ADX6" s="101"/>
      <c r="ADY6" s="101"/>
      <c r="ADZ6" s="101"/>
      <c r="AEA6" s="101"/>
      <c r="AEB6" s="101"/>
      <c r="AEC6" s="101"/>
      <c r="AED6" s="101"/>
      <c r="AEE6" s="101"/>
      <c r="AEF6" s="101"/>
      <c r="AEG6" s="101"/>
      <c r="AEH6" s="101"/>
      <c r="AEI6" s="101"/>
      <c r="AEJ6" s="101"/>
      <c r="AEK6" s="101"/>
      <c r="AEL6" s="101"/>
      <c r="AEM6" s="101"/>
      <c r="AEN6" s="101"/>
      <c r="AEO6" s="101"/>
      <c r="AEP6" s="101"/>
      <c r="AEQ6" s="101"/>
      <c r="AER6" s="101"/>
      <c r="AES6" s="101"/>
      <c r="AET6" s="101"/>
      <c r="AEU6" s="101"/>
      <c r="AEV6" s="101"/>
      <c r="AEW6" s="101"/>
      <c r="AEX6" s="101"/>
      <c r="AEY6" s="101"/>
      <c r="AEZ6" s="101"/>
      <c r="AFA6" s="101"/>
      <c r="AFB6" s="101"/>
      <c r="AFC6" s="101"/>
      <c r="AFD6" s="101"/>
      <c r="AFE6" s="101"/>
      <c r="AFF6" s="101"/>
      <c r="AFG6" s="101"/>
      <c r="AFH6" s="101"/>
      <c r="AFI6" s="101"/>
      <c r="AFJ6" s="101"/>
      <c r="AFK6" s="101"/>
      <c r="AFL6" s="101"/>
      <c r="AFM6" s="101"/>
      <c r="AFN6" s="101"/>
      <c r="AFO6" s="101"/>
      <c r="AFP6" s="101"/>
      <c r="AFQ6" s="101"/>
      <c r="AFR6" s="101"/>
      <c r="AFS6" s="101"/>
      <c r="AFT6" s="101"/>
      <c r="AFU6" s="101"/>
      <c r="AFV6" s="101"/>
      <c r="AFW6" s="101"/>
      <c r="AFX6" s="101"/>
      <c r="AFY6" s="101"/>
      <c r="AFZ6" s="101"/>
      <c r="AGA6" s="101"/>
      <c r="AGB6" s="101"/>
      <c r="AGC6" s="101"/>
      <c r="AGD6" s="101"/>
      <c r="AGE6" s="101"/>
      <c r="AGF6" s="101"/>
      <c r="AGG6" s="101"/>
      <c r="AGH6" s="101"/>
      <c r="AGI6" s="101"/>
      <c r="AGJ6" s="101"/>
      <c r="AGK6" s="101"/>
      <c r="AGL6" s="101"/>
      <c r="AGM6" s="101"/>
      <c r="AGN6" s="101"/>
      <c r="AGO6" s="101"/>
      <c r="AGP6" s="101"/>
      <c r="AGQ6" s="101"/>
      <c r="AGR6" s="101"/>
      <c r="AGS6" s="101"/>
      <c r="AGT6" s="101"/>
      <c r="AGU6" s="101"/>
      <c r="AGV6" s="101"/>
      <c r="AGW6" s="101"/>
      <c r="AGX6" s="101"/>
      <c r="AGY6" s="101"/>
      <c r="AGZ6" s="101"/>
      <c r="AHA6" s="101"/>
      <c r="AHB6" s="101"/>
      <c r="AHC6" s="101"/>
      <c r="AHD6" s="101"/>
      <c r="AHE6" s="101"/>
      <c r="AHF6" s="101"/>
      <c r="AHG6" s="101"/>
      <c r="AHH6" s="101"/>
      <c r="AHI6" s="101"/>
      <c r="AHJ6" s="101"/>
      <c r="AHK6" s="101"/>
      <c r="AHL6" s="101"/>
      <c r="AHM6" s="101"/>
      <c r="AHN6" s="101"/>
      <c r="AHO6" s="101"/>
      <c r="AHP6" s="101"/>
      <c r="AHQ6" s="101"/>
      <c r="AHR6" s="101"/>
      <c r="AHS6" s="101"/>
      <c r="AHT6" s="101"/>
      <c r="AHU6" s="101"/>
      <c r="AHV6" s="101"/>
      <c r="AHW6" s="101"/>
      <c r="AHX6" s="101"/>
      <c r="AHY6" s="101"/>
      <c r="AHZ6" s="101"/>
      <c r="AIA6" s="101"/>
      <c r="AIB6" s="101"/>
      <c r="AIC6" s="101"/>
      <c r="AID6" s="101"/>
      <c r="AIE6" s="101"/>
      <c r="AIF6" s="101"/>
      <c r="AIG6" s="101"/>
      <c r="AIH6" s="101"/>
      <c r="AII6" s="101"/>
      <c r="AIJ6" s="101"/>
      <c r="AIK6" s="101"/>
      <c r="AIL6" s="101"/>
      <c r="AIM6" s="101"/>
      <c r="AIN6" s="101"/>
      <c r="AIO6" s="101"/>
      <c r="AIP6" s="101"/>
      <c r="AIQ6" s="101"/>
      <c r="AIR6" s="101"/>
      <c r="AIS6" s="101"/>
      <c r="AIT6" s="101"/>
      <c r="AIU6" s="101"/>
      <c r="AIV6" s="101"/>
      <c r="AIW6" s="101"/>
      <c r="AIX6" s="101"/>
      <c r="AIY6" s="101"/>
      <c r="AIZ6" s="101"/>
      <c r="AJA6" s="101"/>
      <c r="AJB6" s="101"/>
      <c r="AJC6" s="101"/>
      <c r="AJD6" s="101"/>
      <c r="AJE6" s="101"/>
      <c r="AJF6" s="101"/>
      <c r="AJG6" s="101"/>
      <c r="AJH6" s="101"/>
      <c r="AJI6" s="101"/>
      <c r="AJJ6" s="101"/>
      <c r="AJK6" s="101"/>
      <c r="AJL6" s="101"/>
      <c r="AJM6" s="101"/>
      <c r="AJN6" s="101"/>
      <c r="AJO6" s="101"/>
      <c r="AJP6" s="101"/>
      <c r="AJQ6" s="101"/>
      <c r="AJR6" s="101"/>
      <c r="AJS6" s="101"/>
      <c r="AJT6" s="101"/>
      <c r="AJU6" s="101"/>
      <c r="AJV6" s="101"/>
      <c r="AJW6" s="101"/>
      <c r="AJX6" s="101"/>
      <c r="AJY6" s="101"/>
      <c r="AJZ6" s="101"/>
      <c r="AKA6" s="101"/>
      <c r="AKB6" s="101"/>
      <c r="AKC6" s="101"/>
      <c r="AKD6" s="101"/>
      <c r="AKE6" s="101"/>
      <c r="AKF6" s="101"/>
      <c r="AKG6" s="101"/>
      <c r="AKH6" s="101"/>
      <c r="AKI6" s="101"/>
      <c r="AKJ6" s="101"/>
      <c r="AKK6" s="101"/>
      <c r="AKL6" s="101"/>
      <c r="AKM6" s="101"/>
      <c r="AKN6" s="101"/>
      <c r="AKO6" s="101"/>
      <c r="AKP6" s="101"/>
      <c r="AKQ6" s="101"/>
      <c r="AKR6" s="101"/>
      <c r="AKS6" s="101"/>
      <c r="AKT6" s="101"/>
      <c r="AKU6" s="101"/>
      <c r="AKV6" s="101"/>
      <c r="AKW6" s="101"/>
      <c r="AKX6" s="101"/>
      <c r="AKY6" s="101"/>
      <c r="AKZ6" s="101"/>
      <c r="ALA6" s="101"/>
      <c r="ALB6" s="101"/>
      <c r="ALC6" s="101"/>
      <c r="ALD6" s="101"/>
      <c r="ALE6" s="101"/>
      <c r="ALF6" s="101"/>
      <c r="ALG6" s="101"/>
      <c r="ALH6" s="101"/>
      <c r="ALI6" s="101"/>
      <c r="ALJ6" s="101"/>
      <c r="ALK6" s="101"/>
      <c r="ALL6" s="101"/>
      <c r="ALM6" s="101"/>
      <c r="ALN6" s="101"/>
      <c r="ALO6" s="101"/>
      <c r="ALP6" s="101"/>
      <c r="ALQ6" s="101"/>
      <c r="ALR6" s="101"/>
      <c r="ALS6" s="101"/>
      <c r="ALT6" s="101"/>
      <c r="ALU6" s="101"/>
      <c r="ALV6" s="101"/>
      <c r="ALW6" s="101"/>
      <c r="ALX6" s="101"/>
      <c r="ALY6" s="101"/>
      <c r="ALZ6" s="101"/>
      <c r="AMA6" s="101"/>
      <c r="AMB6" s="101"/>
      <c r="AMC6" s="101"/>
      <c r="AMD6" s="101"/>
      <c r="AME6" s="101"/>
      <c r="AMF6" s="101"/>
      <c r="AMG6" s="101"/>
      <c r="AMH6" s="101"/>
      <c r="AMI6" s="101"/>
      <c r="AMJ6" s="101"/>
      <c r="AMK6" s="101"/>
      <c r="AML6" s="101"/>
      <c r="AMM6" s="101"/>
      <c r="AMN6" s="101"/>
      <c r="AMO6" s="101"/>
      <c r="AMP6" s="101"/>
      <c r="AMQ6" s="101"/>
      <c r="AMR6" s="101"/>
      <c r="AMS6" s="101"/>
      <c r="AMT6" s="101"/>
      <c r="AMU6" s="101"/>
      <c r="AMV6" s="101"/>
      <c r="AMW6" s="101"/>
      <c r="AMX6" s="101"/>
      <c r="AMY6" s="101"/>
      <c r="AMZ6" s="101"/>
      <c r="ANA6" s="101"/>
      <c r="ANB6" s="101"/>
      <c r="ANC6" s="101"/>
      <c r="AND6" s="101"/>
      <c r="ANE6" s="101"/>
      <c r="ANF6" s="101"/>
      <c r="ANG6" s="101"/>
      <c r="ANH6" s="101"/>
      <c r="ANI6" s="101"/>
      <c r="ANJ6" s="101"/>
      <c r="ANK6" s="101"/>
      <c r="ANL6" s="101"/>
      <c r="ANM6" s="101"/>
      <c r="ANN6" s="101"/>
      <c r="ANO6" s="101"/>
      <c r="ANP6" s="101"/>
      <c r="ANQ6" s="101"/>
      <c r="ANR6" s="101"/>
      <c r="ANS6" s="101"/>
      <c r="ANT6" s="101"/>
      <c r="ANU6" s="101"/>
      <c r="ANV6" s="101"/>
      <c r="ANW6" s="101"/>
      <c r="ANX6" s="101"/>
      <c r="ANY6" s="101"/>
      <c r="ANZ6" s="101"/>
      <c r="AOA6" s="101"/>
      <c r="AOB6" s="101"/>
      <c r="AOC6" s="101"/>
      <c r="AOD6" s="101"/>
      <c r="AOE6" s="101"/>
      <c r="AOF6" s="101"/>
      <c r="AOG6" s="101"/>
      <c r="AOH6" s="101"/>
      <c r="AOI6" s="101"/>
      <c r="AOJ6" s="101"/>
      <c r="AOK6" s="101"/>
      <c r="AOL6" s="101"/>
      <c r="AOM6" s="101"/>
      <c r="AON6" s="101"/>
      <c r="AOO6" s="101"/>
      <c r="AOP6" s="101"/>
      <c r="AOQ6" s="101"/>
      <c r="AOR6" s="101"/>
      <c r="AOS6" s="101"/>
      <c r="AOT6" s="101"/>
      <c r="AOU6" s="101"/>
      <c r="AOV6" s="101"/>
      <c r="AOW6" s="101"/>
      <c r="AOX6" s="101"/>
      <c r="AOY6" s="101"/>
      <c r="AOZ6" s="101"/>
      <c r="APA6" s="101"/>
      <c r="APB6" s="101"/>
      <c r="APC6" s="101"/>
      <c r="APD6" s="101"/>
      <c r="APE6" s="101"/>
      <c r="APF6" s="101"/>
      <c r="APG6" s="101"/>
      <c r="APH6" s="101"/>
      <c r="API6" s="101"/>
      <c r="APJ6" s="101"/>
      <c r="APK6" s="101"/>
      <c r="APL6" s="101"/>
      <c r="APM6" s="101"/>
      <c r="APN6" s="101"/>
      <c r="APO6" s="101"/>
      <c r="APP6" s="101"/>
      <c r="APQ6" s="101"/>
      <c r="APR6" s="101"/>
      <c r="APS6" s="101"/>
      <c r="APT6" s="101"/>
      <c r="APU6" s="101"/>
      <c r="APV6" s="101"/>
      <c r="APW6" s="101"/>
      <c r="APX6" s="101"/>
      <c r="APY6" s="101"/>
      <c r="APZ6" s="101"/>
      <c r="AQA6" s="101"/>
      <c r="AQB6" s="101"/>
      <c r="AQC6" s="101"/>
      <c r="AQD6" s="101"/>
      <c r="AQE6" s="101"/>
      <c r="AQF6" s="101"/>
      <c r="AQG6" s="101"/>
      <c r="AQH6" s="101"/>
      <c r="AQI6" s="101"/>
      <c r="AQJ6" s="101"/>
      <c r="AQK6" s="101"/>
      <c r="AQL6" s="101"/>
      <c r="AQM6" s="101"/>
      <c r="AQN6" s="101"/>
      <c r="AQO6" s="101"/>
      <c r="AQP6" s="101"/>
      <c r="AQQ6" s="101"/>
      <c r="AQR6" s="101"/>
      <c r="AQS6" s="101"/>
      <c r="AQT6" s="101"/>
      <c r="AQU6" s="101"/>
      <c r="AQV6" s="101"/>
      <c r="AQW6" s="101"/>
      <c r="AQX6" s="101"/>
      <c r="AQY6" s="101"/>
      <c r="AQZ6" s="101"/>
      <c r="ARA6" s="101"/>
      <c r="ARB6" s="101"/>
      <c r="ARC6" s="101"/>
      <c r="ARD6" s="101"/>
      <c r="ARE6" s="101"/>
      <c r="ARF6" s="101"/>
      <c r="ARG6" s="101"/>
      <c r="ARH6" s="101"/>
      <c r="ARI6" s="101"/>
      <c r="ARJ6" s="101"/>
      <c r="ARK6" s="101"/>
      <c r="ARL6" s="101"/>
      <c r="ARM6" s="101"/>
      <c r="ARN6" s="101"/>
      <c r="ARO6" s="101"/>
      <c r="ARP6" s="101"/>
      <c r="ARQ6" s="101"/>
      <c r="ARR6" s="101"/>
      <c r="ARS6" s="101"/>
      <c r="ART6" s="101"/>
      <c r="ARU6" s="101"/>
      <c r="ARV6" s="101"/>
      <c r="ARW6" s="101"/>
      <c r="ARX6" s="101"/>
      <c r="ARY6" s="101"/>
      <c r="ARZ6" s="101"/>
      <c r="ASA6" s="101"/>
      <c r="ASB6" s="101"/>
      <c r="ASC6" s="101"/>
      <c r="ASD6" s="101"/>
      <c r="ASE6" s="101"/>
      <c r="ASF6" s="101"/>
      <c r="ASG6" s="101"/>
      <c r="ASH6" s="101"/>
      <c r="ASI6" s="101"/>
      <c r="ASJ6" s="101"/>
      <c r="ASK6" s="101"/>
      <c r="ASL6" s="101"/>
      <c r="ASM6" s="101"/>
      <c r="ASN6" s="101"/>
      <c r="ASO6" s="101"/>
      <c r="ASP6" s="101"/>
      <c r="ASQ6" s="101"/>
      <c r="ASR6" s="101"/>
      <c r="ASS6" s="101"/>
      <c r="AST6" s="101"/>
      <c r="ASU6" s="101"/>
      <c r="ASV6" s="101"/>
      <c r="ASW6" s="101"/>
      <c r="ASX6" s="101"/>
      <c r="ASY6" s="101"/>
      <c r="ASZ6" s="101"/>
      <c r="ATA6" s="101"/>
      <c r="ATB6" s="101"/>
      <c r="ATC6" s="101"/>
      <c r="ATD6" s="101"/>
      <c r="ATE6" s="101"/>
      <c r="ATF6" s="101"/>
      <c r="ATG6" s="101"/>
      <c r="ATH6" s="101"/>
      <c r="ATI6" s="101"/>
      <c r="ATJ6" s="101"/>
      <c r="ATK6" s="101"/>
      <c r="ATL6" s="101"/>
      <c r="ATM6" s="101"/>
      <c r="ATN6" s="101"/>
      <c r="ATO6" s="101"/>
      <c r="ATP6" s="101"/>
      <c r="ATQ6" s="101"/>
      <c r="ATR6" s="101"/>
      <c r="ATS6" s="101"/>
      <c r="ATT6" s="101"/>
      <c r="ATU6" s="101"/>
      <c r="ATV6" s="101"/>
      <c r="ATW6" s="101"/>
      <c r="ATX6" s="101"/>
      <c r="ATY6" s="101"/>
      <c r="ATZ6" s="101"/>
      <c r="AUA6" s="101"/>
      <c r="AUB6" s="101"/>
      <c r="AUC6" s="101"/>
      <c r="AUD6" s="101"/>
      <c r="AUE6" s="101"/>
      <c r="AUF6" s="101"/>
      <c r="AUG6" s="101"/>
      <c r="AUH6" s="101"/>
      <c r="AUI6" s="101"/>
      <c r="AUJ6" s="101"/>
      <c r="AUK6" s="101"/>
      <c r="AUL6" s="101"/>
      <c r="AUM6" s="101"/>
      <c r="AUN6" s="101"/>
      <c r="AUO6" s="101"/>
      <c r="AUP6" s="101"/>
      <c r="AUQ6" s="101"/>
      <c r="AUR6" s="101"/>
      <c r="AUS6" s="101"/>
      <c r="AUT6" s="101"/>
      <c r="AUU6" s="101"/>
      <c r="AUV6" s="101"/>
      <c r="AUW6" s="101"/>
      <c r="AUX6" s="101"/>
      <c r="AUY6" s="101"/>
      <c r="AUZ6" s="101"/>
      <c r="AVA6" s="101"/>
      <c r="AVB6" s="101"/>
      <c r="AVC6" s="101"/>
      <c r="AVD6" s="101"/>
      <c r="AVE6" s="101"/>
      <c r="AVF6" s="101"/>
      <c r="AVG6" s="101"/>
      <c r="AVH6" s="101"/>
      <c r="AVI6" s="101"/>
      <c r="AVJ6" s="101"/>
      <c r="AVK6" s="101"/>
      <c r="AVL6" s="101"/>
      <c r="AVM6" s="101"/>
      <c r="AVN6" s="101"/>
      <c r="AVO6" s="101"/>
      <c r="AVP6" s="101"/>
      <c r="AVQ6" s="101"/>
      <c r="AVR6" s="101"/>
      <c r="AVS6" s="101"/>
      <c r="AVT6" s="101"/>
      <c r="AVU6" s="101"/>
      <c r="AVV6" s="101"/>
      <c r="AVW6" s="101"/>
      <c r="AVX6" s="101"/>
      <c r="AVY6" s="101"/>
      <c r="AVZ6" s="101"/>
      <c r="AWA6" s="101"/>
      <c r="AWB6" s="101"/>
      <c r="AWC6" s="101"/>
      <c r="AWD6" s="101"/>
      <c r="AWE6" s="101"/>
      <c r="AWF6" s="101"/>
      <c r="AWG6" s="101"/>
      <c r="AWH6" s="101"/>
      <c r="AWI6" s="101"/>
      <c r="AWJ6" s="101"/>
      <c r="AWK6" s="101"/>
      <c r="AWL6" s="101"/>
      <c r="AWM6" s="101"/>
      <c r="AWN6" s="101"/>
      <c r="AWO6" s="101"/>
      <c r="AWP6" s="101"/>
      <c r="AWQ6" s="101"/>
      <c r="AWR6" s="101"/>
      <c r="AWS6" s="101"/>
      <c r="AWT6" s="101"/>
      <c r="AWU6" s="101"/>
      <c r="AWV6" s="101"/>
      <c r="AWW6" s="101"/>
      <c r="AWX6" s="101"/>
      <c r="AWY6" s="101"/>
      <c r="AWZ6" s="101"/>
      <c r="AXA6" s="101"/>
      <c r="AXB6" s="101"/>
      <c r="AXC6" s="101"/>
      <c r="AXD6" s="101"/>
      <c r="AXE6" s="101"/>
      <c r="AXF6" s="101"/>
      <c r="AXG6" s="101"/>
      <c r="AXH6" s="101"/>
      <c r="AXI6" s="101"/>
      <c r="AXJ6" s="101"/>
      <c r="AXK6" s="101"/>
      <c r="AXL6" s="101"/>
      <c r="AXM6" s="101"/>
      <c r="AXN6" s="101"/>
      <c r="AXO6" s="101"/>
      <c r="AXP6" s="101"/>
      <c r="AXQ6" s="101"/>
      <c r="AXR6" s="101"/>
      <c r="AXS6" s="101"/>
      <c r="AXT6" s="101"/>
      <c r="AXU6" s="101"/>
      <c r="AXV6" s="101"/>
      <c r="AXW6" s="101"/>
      <c r="AXX6" s="101"/>
      <c r="AXY6" s="101"/>
      <c r="AXZ6" s="101"/>
      <c r="AYA6" s="101"/>
      <c r="AYB6" s="101"/>
      <c r="AYC6" s="101"/>
      <c r="AYD6" s="101"/>
      <c r="AYE6" s="101"/>
      <c r="AYF6" s="101"/>
      <c r="AYG6" s="101"/>
      <c r="AYH6" s="101"/>
      <c r="AYI6" s="101"/>
      <c r="AYJ6" s="101"/>
      <c r="AYK6" s="101"/>
      <c r="AYL6" s="101"/>
      <c r="AYM6" s="101"/>
      <c r="AYN6" s="101"/>
      <c r="AYO6" s="101"/>
      <c r="AYP6" s="101"/>
      <c r="AYQ6" s="101"/>
      <c r="AYR6" s="101"/>
      <c r="AYS6" s="101"/>
      <c r="AYT6" s="101"/>
      <c r="AYU6" s="101"/>
      <c r="AYV6" s="101"/>
      <c r="AYW6" s="101"/>
      <c r="AYX6" s="101"/>
      <c r="AYY6" s="101"/>
      <c r="AYZ6" s="101"/>
      <c r="AZA6" s="101"/>
      <c r="AZB6" s="101"/>
      <c r="AZC6" s="101"/>
      <c r="AZD6" s="101"/>
      <c r="AZE6" s="101"/>
      <c r="AZF6" s="101"/>
      <c r="AZG6" s="101"/>
      <c r="AZH6" s="101"/>
      <c r="AZI6" s="101"/>
      <c r="AZJ6" s="101"/>
      <c r="AZK6" s="101"/>
      <c r="AZL6" s="101"/>
      <c r="AZM6" s="101"/>
      <c r="AZN6" s="101"/>
      <c r="AZO6" s="101"/>
      <c r="AZP6" s="101"/>
      <c r="AZQ6" s="101"/>
      <c r="AZR6" s="101"/>
      <c r="AZS6" s="101"/>
      <c r="AZT6" s="101"/>
      <c r="AZU6" s="101"/>
      <c r="AZV6" s="101"/>
      <c r="AZW6" s="101"/>
      <c r="AZX6" s="101"/>
      <c r="AZY6" s="101"/>
      <c r="AZZ6" s="101"/>
      <c r="BAA6" s="101"/>
      <c r="BAB6" s="101"/>
      <c r="BAC6" s="101"/>
      <c r="BAD6" s="101"/>
      <c r="BAE6" s="101"/>
      <c r="BAF6" s="101"/>
      <c r="BAG6" s="101"/>
      <c r="BAH6" s="101"/>
      <c r="BAI6" s="101"/>
      <c r="BAJ6" s="101"/>
      <c r="BAK6" s="101"/>
      <c r="BAL6" s="101"/>
      <c r="BAM6" s="101"/>
      <c r="BAN6" s="101"/>
      <c r="BAO6" s="101"/>
      <c r="BAP6" s="101"/>
      <c r="BAQ6" s="101"/>
      <c r="BAR6" s="101"/>
      <c r="BAS6" s="101"/>
      <c r="BAT6" s="101"/>
      <c r="BAU6" s="101"/>
      <c r="BAV6" s="101"/>
      <c r="BAW6" s="101"/>
      <c r="BAX6" s="101"/>
      <c r="BAY6" s="101"/>
      <c r="BAZ6" s="101"/>
      <c r="BBA6" s="101"/>
      <c r="BBB6" s="101"/>
      <c r="BBC6" s="101"/>
      <c r="BBD6" s="101"/>
      <c r="BBE6" s="101"/>
      <c r="BBF6" s="101"/>
      <c r="BBG6" s="101"/>
      <c r="BBH6" s="101"/>
      <c r="BBI6" s="101"/>
      <c r="BBJ6" s="101"/>
      <c r="BBK6" s="101"/>
      <c r="BBL6" s="101"/>
      <c r="BBM6" s="101"/>
      <c r="BBN6" s="101"/>
      <c r="BBO6" s="101"/>
      <c r="BBP6" s="101"/>
      <c r="BBQ6" s="101"/>
      <c r="BBR6" s="101"/>
      <c r="BBS6" s="101"/>
      <c r="BBT6" s="101"/>
      <c r="BBU6" s="101"/>
      <c r="BBV6" s="101"/>
      <c r="BBW6" s="101"/>
      <c r="BBX6" s="101"/>
      <c r="BBY6" s="101"/>
      <c r="BBZ6" s="101"/>
      <c r="BCA6" s="101"/>
      <c r="BCB6" s="101"/>
      <c r="BCC6" s="101"/>
      <c r="BCD6" s="101"/>
      <c r="BCE6" s="101"/>
      <c r="BCF6" s="101"/>
      <c r="BCG6" s="101"/>
      <c r="BCH6" s="101"/>
      <c r="BCI6" s="101"/>
      <c r="BCJ6" s="101"/>
      <c r="BCK6" s="101"/>
      <c r="BCL6" s="101"/>
      <c r="BCM6" s="101"/>
      <c r="BCN6" s="101"/>
      <c r="BCO6" s="101"/>
      <c r="BCP6" s="101"/>
      <c r="BCQ6" s="101"/>
      <c r="BCR6" s="101"/>
      <c r="BCS6" s="101"/>
      <c r="BCT6" s="101"/>
      <c r="BCU6" s="101"/>
      <c r="BCV6" s="101"/>
      <c r="BCW6" s="101"/>
      <c r="BCX6" s="101"/>
      <c r="BCY6" s="101"/>
      <c r="BCZ6" s="101"/>
      <c r="BDA6" s="101"/>
      <c r="BDB6" s="101"/>
      <c r="BDC6" s="101"/>
      <c r="BDD6" s="101"/>
      <c r="BDE6" s="101"/>
      <c r="BDF6" s="101"/>
      <c r="BDG6" s="101"/>
      <c r="BDH6" s="101"/>
      <c r="BDI6" s="101"/>
      <c r="BDJ6" s="101"/>
      <c r="BDK6" s="101"/>
      <c r="BDL6" s="101"/>
      <c r="BDM6" s="101"/>
      <c r="BDN6" s="101"/>
      <c r="BDO6" s="101"/>
      <c r="BDP6" s="101"/>
      <c r="BDQ6" s="101"/>
      <c r="BDR6" s="101"/>
      <c r="BDS6" s="101"/>
      <c r="BDT6" s="101"/>
      <c r="BDU6" s="101"/>
      <c r="BDV6" s="101"/>
      <c r="BDW6" s="101"/>
      <c r="BDX6" s="101"/>
      <c r="BDY6" s="101"/>
      <c r="BDZ6" s="101"/>
      <c r="BEA6" s="101"/>
      <c r="BEB6" s="101"/>
      <c r="BEC6" s="101"/>
      <c r="BED6" s="101"/>
      <c r="BEE6" s="101"/>
      <c r="BEF6" s="101"/>
      <c r="BEG6" s="101"/>
      <c r="BEH6" s="101"/>
      <c r="BEI6" s="101"/>
      <c r="BEJ6" s="101"/>
      <c r="BEK6" s="101"/>
      <c r="BEL6" s="101"/>
      <c r="BEM6" s="101"/>
      <c r="BEN6" s="101"/>
      <c r="BEO6" s="101"/>
      <c r="BEP6" s="101"/>
      <c r="BEQ6" s="101"/>
      <c r="BER6" s="101"/>
      <c r="BES6" s="101"/>
      <c r="BET6" s="101"/>
      <c r="BEU6" s="101"/>
      <c r="BEV6" s="101"/>
      <c r="BEW6" s="101"/>
      <c r="BEX6" s="101"/>
      <c r="BEY6" s="101"/>
      <c r="BEZ6" s="101"/>
      <c r="BFA6" s="101"/>
      <c r="BFB6" s="101"/>
      <c r="BFC6" s="101"/>
      <c r="BFD6" s="101"/>
      <c r="BFE6" s="101"/>
      <c r="BFF6" s="101"/>
      <c r="BFG6" s="101"/>
      <c r="BFH6" s="101"/>
      <c r="BFI6" s="101"/>
      <c r="BFJ6" s="101"/>
      <c r="BFK6" s="101"/>
      <c r="BFL6" s="101"/>
      <c r="BFM6" s="101"/>
      <c r="BFN6" s="101"/>
      <c r="BFO6" s="101"/>
      <c r="BFP6" s="101"/>
      <c r="BFQ6" s="101"/>
      <c r="BFR6" s="101"/>
      <c r="BFS6" s="101"/>
      <c r="BFT6" s="101"/>
      <c r="BFU6" s="101"/>
      <c r="BFV6" s="101"/>
      <c r="BFW6" s="101"/>
      <c r="BFX6" s="101"/>
      <c r="BFY6" s="101"/>
      <c r="BFZ6" s="101"/>
      <c r="BGA6" s="101"/>
      <c r="BGB6" s="101"/>
      <c r="BGC6" s="101"/>
      <c r="BGD6" s="101"/>
      <c r="BGE6" s="101"/>
      <c r="BGF6" s="101"/>
      <c r="BGG6" s="101"/>
      <c r="BGH6" s="101"/>
      <c r="BGI6" s="101"/>
      <c r="BGJ6" s="101"/>
      <c r="BGK6" s="101"/>
      <c r="BGL6" s="101"/>
      <c r="BGM6" s="101"/>
      <c r="BGN6" s="101"/>
      <c r="BGO6" s="101"/>
      <c r="BGP6" s="101"/>
      <c r="BGQ6" s="101"/>
      <c r="BGR6" s="101"/>
      <c r="BGS6" s="101"/>
      <c r="BGT6" s="101"/>
      <c r="BGU6" s="101"/>
      <c r="BGV6" s="101"/>
      <c r="BGW6" s="101"/>
      <c r="BGX6" s="101"/>
      <c r="BGY6" s="101"/>
      <c r="BGZ6" s="101"/>
      <c r="BHA6" s="101"/>
      <c r="BHB6" s="101"/>
      <c r="BHC6" s="101"/>
      <c r="BHD6" s="101"/>
      <c r="BHE6" s="101"/>
      <c r="BHF6" s="101"/>
      <c r="BHG6" s="101"/>
      <c r="BHH6" s="101"/>
      <c r="BHI6" s="101"/>
      <c r="BHJ6" s="101"/>
      <c r="BHK6" s="101"/>
      <c r="BHL6" s="101"/>
      <c r="BHM6" s="101"/>
      <c r="BHN6" s="101"/>
      <c r="BHO6" s="101"/>
      <c r="BHP6" s="101"/>
      <c r="BHQ6" s="101"/>
      <c r="BHR6" s="101"/>
      <c r="BHS6" s="101"/>
      <c r="BHT6" s="101"/>
      <c r="BHU6" s="101"/>
      <c r="BHV6" s="101"/>
      <c r="BHW6" s="101"/>
      <c r="BHX6" s="101"/>
      <c r="BHY6" s="101"/>
      <c r="BHZ6" s="101"/>
      <c r="BIA6" s="101"/>
      <c r="BIB6" s="101"/>
      <c r="BIC6" s="101"/>
      <c r="BID6" s="101"/>
      <c r="BIE6" s="101"/>
      <c r="BIF6" s="101"/>
      <c r="BIG6" s="101"/>
      <c r="BIH6" s="101"/>
      <c r="BII6" s="101"/>
      <c r="BIJ6" s="101"/>
      <c r="BIK6" s="101"/>
      <c r="BIL6" s="101"/>
      <c r="BIM6" s="101"/>
      <c r="BIN6" s="101"/>
      <c r="BIO6" s="101"/>
      <c r="BIP6" s="101"/>
      <c r="BIQ6" s="101"/>
      <c r="BIR6" s="101"/>
      <c r="BIS6" s="101"/>
      <c r="BIT6" s="101"/>
      <c r="BIU6" s="101"/>
      <c r="BIV6" s="101"/>
      <c r="BIW6" s="101"/>
      <c r="BIX6" s="101"/>
      <c r="BIY6" s="101"/>
      <c r="BIZ6" s="101"/>
      <c r="BJA6" s="101"/>
      <c r="BJB6" s="101"/>
      <c r="BJC6" s="101"/>
      <c r="BJD6" s="101"/>
      <c r="BJE6" s="101"/>
      <c r="BJF6" s="101"/>
      <c r="BJG6" s="101"/>
      <c r="BJH6" s="101"/>
      <c r="BJI6" s="101"/>
      <c r="BJJ6" s="101"/>
      <c r="BJK6" s="101"/>
      <c r="BJL6" s="101"/>
      <c r="BJM6" s="101"/>
      <c r="BJN6" s="101"/>
      <c r="BJO6" s="101"/>
      <c r="BJP6" s="101"/>
      <c r="BJQ6" s="101"/>
      <c r="BJR6" s="101"/>
      <c r="BJS6" s="101"/>
      <c r="BJT6" s="101"/>
      <c r="BJU6" s="101"/>
      <c r="BJV6" s="101"/>
      <c r="BJW6" s="101"/>
      <c r="BJX6" s="101"/>
      <c r="BJY6" s="101"/>
      <c r="BJZ6" s="101"/>
      <c r="BKA6" s="101"/>
      <c r="BKB6" s="101"/>
      <c r="BKC6" s="101"/>
      <c r="BKD6" s="101"/>
      <c r="BKE6" s="101"/>
      <c r="BKF6" s="101"/>
      <c r="BKG6" s="101"/>
      <c r="BKH6" s="101"/>
      <c r="BKI6" s="101"/>
      <c r="BKJ6" s="101"/>
      <c r="BKK6" s="101"/>
      <c r="BKL6" s="101"/>
      <c r="BKM6" s="101"/>
      <c r="BKN6" s="101"/>
      <c r="BKO6" s="101"/>
      <c r="BKP6" s="101"/>
      <c r="BKQ6" s="101"/>
      <c r="BKR6" s="101"/>
      <c r="BKS6" s="101"/>
      <c r="BKT6" s="101"/>
      <c r="BKU6" s="101"/>
      <c r="BKV6" s="101"/>
      <c r="BKW6" s="101"/>
      <c r="BKX6" s="101"/>
      <c r="BKY6" s="101"/>
      <c r="BKZ6" s="101"/>
      <c r="BLA6" s="101"/>
      <c r="BLB6" s="101"/>
      <c r="BLC6" s="101"/>
      <c r="BLD6" s="101"/>
      <c r="BLE6" s="101"/>
      <c r="BLF6" s="101"/>
      <c r="BLG6" s="101"/>
      <c r="BLH6" s="101"/>
      <c r="BLI6" s="101"/>
      <c r="BLJ6" s="101"/>
      <c r="BLK6" s="101"/>
      <c r="BLL6" s="101"/>
      <c r="BLM6" s="101"/>
      <c r="BLN6" s="101"/>
      <c r="BLO6" s="101"/>
      <c r="BLP6" s="101"/>
      <c r="BLQ6" s="101"/>
      <c r="BLR6" s="101"/>
      <c r="BLS6" s="101"/>
      <c r="BLT6" s="101"/>
      <c r="BLU6" s="101"/>
      <c r="BLV6" s="101"/>
      <c r="BLW6" s="101"/>
      <c r="BLX6" s="101"/>
      <c r="BLY6" s="101"/>
      <c r="BLZ6" s="101"/>
      <c r="BMA6" s="101"/>
      <c r="BMB6" s="101"/>
      <c r="BMC6" s="101"/>
      <c r="BMD6" s="101"/>
      <c r="BME6" s="101"/>
      <c r="BMF6" s="101"/>
      <c r="BMG6" s="101"/>
      <c r="BMH6" s="101"/>
      <c r="BMI6" s="101"/>
      <c r="BMJ6" s="101"/>
      <c r="BMK6" s="101"/>
      <c r="BML6" s="101"/>
      <c r="BMM6" s="101"/>
      <c r="BMN6" s="101"/>
      <c r="BMO6" s="101"/>
      <c r="BMP6" s="101"/>
      <c r="BMQ6" s="101"/>
      <c r="BMR6" s="101"/>
      <c r="BMS6" s="101"/>
      <c r="BMT6" s="101"/>
      <c r="BMU6" s="101"/>
      <c r="BMV6" s="101"/>
      <c r="BMW6" s="101"/>
      <c r="BMX6" s="101"/>
      <c r="BMY6" s="101"/>
      <c r="BMZ6" s="101"/>
      <c r="BNA6" s="101"/>
      <c r="BNB6" s="101"/>
      <c r="BNC6" s="101"/>
      <c r="BND6" s="101"/>
      <c r="BNE6" s="101"/>
      <c r="BNF6" s="101"/>
      <c r="BNG6" s="101"/>
      <c r="BNH6" s="101"/>
      <c r="BNI6" s="101"/>
      <c r="BNJ6" s="101"/>
      <c r="BNK6" s="101"/>
      <c r="BNL6" s="101"/>
      <c r="BNM6" s="101"/>
      <c r="BNN6" s="101"/>
      <c r="BNO6" s="101"/>
      <c r="BNP6" s="101"/>
      <c r="BNQ6" s="101"/>
      <c r="BNR6" s="101"/>
      <c r="BNS6" s="101"/>
      <c r="BNT6" s="101"/>
      <c r="BNU6" s="101"/>
      <c r="BNV6" s="101"/>
      <c r="BNW6" s="101"/>
      <c r="BNX6" s="101"/>
      <c r="BNY6" s="101"/>
      <c r="BNZ6" s="101"/>
      <c r="BOA6" s="101"/>
      <c r="BOB6" s="101"/>
      <c r="BOC6" s="101"/>
      <c r="BOD6" s="101"/>
      <c r="BOE6" s="101"/>
      <c r="BOF6" s="101"/>
      <c r="BOG6" s="101"/>
      <c r="BOH6" s="101"/>
      <c r="BOI6" s="101"/>
      <c r="BOJ6" s="101"/>
      <c r="BOK6" s="101"/>
      <c r="BOL6" s="101"/>
      <c r="BOM6" s="101"/>
      <c r="BON6" s="101"/>
      <c r="BOO6" s="101"/>
      <c r="BOP6" s="101"/>
      <c r="BOQ6" s="101"/>
      <c r="BOR6" s="101"/>
      <c r="BOS6" s="101"/>
      <c r="BOT6" s="101"/>
      <c r="BOU6" s="101"/>
      <c r="BOV6" s="101"/>
      <c r="BOW6" s="101"/>
      <c r="BOX6" s="101"/>
      <c r="BOY6" s="101"/>
      <c r="BOZ6" s="101"/>
      <c r="BPA6" s="101"/>
      <c r="BPB6" s="101"/>
      <c r="BPC6" s="101"/>
      <c r="BPD6" s="101"/>
      <c r="BPE6" s="101"/>
      <c r="BPF6" s="101"/>
      <c r="BPG6" s="101"/>
      <c r="BPH6" s="101"/>
      <c r="BPI6" s="101"/>
      <c r="BPJ6" s="101"/>
      <c r="BPK6" s="101"/>
      <c r="BPL6" s="101"/>
      <c r="BPM6" s="101"/>
      <c r="BPN6" s="101"/>
      <c r="BPO6" s="101"/>
      <c r="BPP6" s="101"/>
      <c r="BPQ6" s="101"/>
      <c r="BPR6" s="101"/>
      <c r="BPS6" s="101"/>
      <c r="BPT6" s="101"/>
      <c r="BPU6" s="101"/>
      <c r="BPV6" s="101"/>
      <c r="BPW6" s="101"/>
      <c r="BPX6" s="101"/>
      <c r="BPY6" s="101"/>
      <c r="BPZ6" s="101"/>
      <c r="BQA6" s="101"/>
      <c r="BQB6" s="101"/>
      <c r="BQC6" s="101"/>
      <c r="BQD6" s="101"/>
      <c r="BQE6" s="101"/>
      <c r="BQF6" s="101"/>
      <c r="BQG6" s="101"/>
      <c r="BQH6" s="101"/>
      <c r="BQI6" s="101"/>
      <c r="BQJ6" s="101"/>
      <c r="BQK6" s="101"/>
      <c r="BQL6" s="101"/>
      <c r="BQM6" s="101"/>
      <c r="BQN6" s="101"/>
      <c r="BQO6" s="101"/>
      <c r="BQP6" s="101"/>
      <c r="BQQ6" s="101"/>
      <c r="BQR6" s="101"/>
      <c r="BQS6" s="101"/>
      <c r="BQT6" s="101"/>
      <c r="BQU6" s="101"/>
      <c r="BQV6" s="101"/>
      <c r="BQW6" s="101"/>
      <c r="BQX6" s="101"/>
      <c r="BQY6" s="101"/>
      <c r="BQZ6" s="101"/>
      <c r="BRA6" s="101"/>
      <c r="BRB6" s="101"/>
      <c r="BRC6" s="101"/>
      <c r="BRD6" s="101"/>
      <c r="BRE6" s="101"/>
      <c r="BRF6" s="101"/>
      <c r="BRG6" s="101"/>
      <c r="BRH6" s="101"/>
      <c r="BRI6" s="101"/>
      <c r="BRJ6" s="101"/>
      <c r="BRK6" s="101"/>
      <c r="BRL6" s="101"/>
      <c r="BRM6" s="101"/>
      <c r="BRN6" s="101"/>
      <c r="BRO6" s="101"/>
      <c r="BRP6" s="101"/>
      <c r="BRQ6" s="101"/>
      <c r="BRR6" s="101"/>
      <c r="BRS6" s="101"/>
      <c r="BRT6" s="101"/>
      <c r="BRU6" s="101"/>
      <c r="BRV6" s="101"/>
      <c r="BRW6" s="101"/>
      <c r="BRX6" s="101"/>
      <c r="BRY6" s="101"/>
      <c r="BRZ6" s="101"/>
      <c r="BSA6" s="101"/>
      <c r="BSB6" s="101"/>
      <c r="BSC6" s="101"/>
      <c r="BSD6" s="101"/>
      <c r="BSE6" s="101"/>
      <c r="BSF6" s="101"/>
      <c r="BSG6" s="101"/>
      <c r="BSH6" s="101"/>
      <c r="BSI6" s="101"/>
      <c r="BSJ6" s="101"/>
      <c r="BSK6" s="101"/>
      <c r="BSL6" s="101"/>
      <c r="BSM6" s="101"/>
      <c r="BSN6" s="101"/>
      <c r="BSO6" s="101"/>
      <c r="BSP6" s="101"/>
      <c r="BSQ6" s="101"/>
      <c r="BSR6" s="101"/>
      <c r="BSS6" s="101"/>
      <c r="BST6" s="101"/>
      <c r="BSU6" s="101"/>
      <c r="BSV6" s="101"/>
      <c r="BSW6" s="101"/>
      <c r="BSX6" s="101"/>
      <c r="BSY6" s="101"/>
      <c r="BSZ6" s="101"/>
      <c r="BTA6" s="101"/>
      <c r="BTB6" s="101"/>
      <c r="BTC6" s="101"/>
      <c r="BTD6" s="101"/>
      <c r="BTE6" s="101"/>
      <c r="BTF6" s="101"/>
      <c r="BTG6" s="101"/>
      <c r="BTH6" s="101"/>
      <c r="BTI6" s="101"/>
      <c r="BTJ6" s="101"/>
      <c r="BTK6" s="101"/>
      <c r="BTL6" s="101"/>
      <c r="BTM6" s="101"/>
      <c r="BTN6" s="101"/>
      <c r="BTO6" s="101"/>
      <c r="BTP6" s="101"/>
      <c r="BTQ6" s="101"/>
      <c r="BTR6" s="101"/>
      <c r="BTS6" s="101"/>
      <c r="BTT6" s="101"/>
      <c r="BTU6" s="101"/>
      <c r="BTV6" s="101"/>
      <c r="BTW6" s="101"/>
      <c r="BTX6" s="101"/>
      <c r="BTY6" s="101"/>
      <c r="BTZ6" s="101"/>
      <c r="BUA6" s="101"/>
      <c r="BUB6" s="101"/>
      <c r="BUC6" s="101"/>
      <c r="BUD6" s="101"/>
      <c r="BUE6" s="101"/>
      <c r="BUF6" s="101"/>
      <c r="BUG6" s="101"/>
      <c r="BUH6" s="101"/>
      <c r="BUI6" s="101"/>
      <c r="BUJ6" s="101"/>
      <c r="BUK6" s="101"/>
      <c r="BUL6" s="101"/>
      <c r="BUM6" s="101"/>
      <c r="BUN6" s="101"/>
      <c r="BUO6" s="101"/>
      <c r="BUP6" s="101"/>
      <c r="BUQ6" s="101"/>
      <c r="BUR6" s="101"/>
      <c r="BUS6" s="101"/>
      <c r="BUT6" s="101"/>
      <c r="BUU6" s="101"/>
      <c r="BUV6" s="101"/>
      <c r="BUW6" s="101"/>
      <c r="BUX6" s="101"/>
      <c r="BUY6" s="101"/>
      <c r="BUZ6" s="101"/>
      <c r="BVA6" s="101"/>
      <c r="BVB6" s="101"/>
      <c r="BVC6" s="101"/>
      <c r="BVD6" s="101"/>
      <c r="BVE6" s="101"/>
      <c r="BVF6" s="101"/>
      <c r="BVG6" s="101"/>
      <c r="BVH6" s="101"/>
      <c r="BVI6" s="101"/>
      <c r="BVJ6" s="101"/>
      <c r="BVK6" s="101"/>
      <c r="BVL6" s="101"/>
      <c r="BVM6" s="101"/>
      <c r="BVN6" s="101"/>
      <c r="BVO6" s="101"/>
      <c r="BVP6" s="101"/>
      <c r="BVQ6" s="101"/>
      <c r="BVR6" s="101"/>
      <c r="BVS6" s="101"/>
      <c r="BVT6" s="101"/>
      <c r="BVU6" s="101"/>
      <c r="BVV6" s="101"/>
      <c r="BVW6" s="101"/>
      <c r="BVX6" s="101"/>
      <c r="BVY6" s="101"/>
      <c r="BVZ6" s="101"/>
      <c r="BWA6" s="101"/>
      <c r="BWB6" s="101"/>
      <c r="BWC6" s="101"/>
      <c r="BWD6" s="101"/>
      <c r="BWE6" s="101"/>
      <c r="BWF6" s="101"/>
      <c r="BWG6" s="101"/>
      <c r="BWH6" s="101"/>
      <c r="BWI6" s="101"/>
      <c r="BWJ6" s="101"/>
      <c r="BWK6" s="101"/>
      <c r="BWL6" s="101"/>
      <c r="BWM6" s="101"/>
      <c r="BWN6" s="101"/>
      <c r="BWO6" s="101"/>
      <c r="BWP6" s="101"/>
      <c r="BWQ6" s="101"/>
      <c r="BWR6" s="101"/>
      <c r="BWS6" s="101"/>
      <c r="BWT6" s="101"/>
      <c r="BWU6" s="101"/>
      <c r="BWV6" s="101"/>
      <c r="BWW6" s="101"/>
      <c r="BWX6" s="101"/>
      <c r="BWY6" s="101"/>
      <c r="BWZ6" s="101"/>
      <c r="BXA6" s="101"/>
      <c r="BXB6" s="101"/>
      <c r="BXC6" s="101"/>
      <c r="BXD6" s="101"/>
      <c r="BXE6" s="101"/>
      <c r="BXF6" s="101"/>
      <c r="BXG6" s="101"/>
      <c r="BXH6" s="101"/>
      <c r="BXI6" s="101"/>
      <c r="BXJ6" s="101"/>
      <c r="BXK6" s="101"/>
      <c r="BXL6" s="101"/>
      <c r="BXM6" s="101"/>
      <c r="BXN6" s="101"/>
      <c r="BXO6" s="101"/>
      <c r="BXP6" s="101"/>
      <c r="BXQ6" s="101"/>
      <c r="BXR6" s="101"/>
      <c r="BXS6" s="101"/>
      <c r="BXT6" s="101"/>
      <c r="BXU6" s="101"/>
      <c r="BXV6" s="101"/>
      <c r="BXW6" s="101"/>
      <c r="BXX6" s="101"/>
      <c r="BXY6" s="101"/>
      <c r="BXZ6" s="101"/>
      <c r="BYA6" s="101"/>
      <c r="BYB6" s="101"/>
      <c r="BYC6" s="101"/>
      <c r="BYD6" s="101"/>
      <c r="BYE6" s="101"/>
      <c r="BYF6" s="101"/>
      <c r="BYG6" s="101"/>
      <c r="BYH6" s="101"/>
      <c r="BYI6" s="101"/>
      <c r="BYJ6" s="101"/>
      <c r="BYK6" s="101"/>
      <c r="BYL6" s="101"/>
      <c r="BYM6" s="101"/>
      <c r="BYN6" s="101"/>
      <c r="BYO6" s="101"/>
      <c r="BYP6" s="101"/>
      <c r="BYQ6" s="101"/>
      <c r="BYR6" s="101"/>
      <c r="BYS6" s="101"/>
      <c r="BYT6" s="101"/>
      <c r="BYU6" s="101"/>
      <c r="BYV6" s="101"/>
      <c r="BYW6" s="101"/>
      <c r="BYX6" s="101"/>
      <c r="BYY6" s="101"/>
      <c r="BYZ6" s="101"/>
      <c r="BZA6" s="101"/>
      <c r="BZB6" s="101"/>
      <c r="BZC6" s="101"/>
      <c r="BZD6" s="101"/>
      <c r="BZE6" s="101"/>
      <c r="BZF6" s="101"/>
      <c r="BZG6" s="101"/>
      <c r="BZH6" s="101"/>
      <c r="BZI6" s="101"/>
      <c r="BZJ6" s="101"/>
      <c r="BZK6" s="101"/>
      <c r="BZL6" s="101"/>
      <c r="BZM6" s="101"/>
      <c r="BZN6" s="101"/>
      <c r="BZO6" s="101"/>
      <c r="BZP6" s="101"/>
      <c r="BZQ6" s="101"/>
      <c r="BZR6" s="101"/>
      <c r="BZS6" s="101"/>
      <c r="BZT6" s="101"/>
      <c r="BZU6" s="101"/>
      <c r="BZV6" s="101"/>
      <c r="BZW6" s="101"/>
      <c r="BZX6" s="101"/>
      <c r="BZY6" s="101"/>
      <c r="BZZ6" s="101"/>
      <c r="CAA6" s="101"/>
      <c r="CAB6" s="101"/>
      <c r="CAC6" s="101"/>
      <c r="CAD6" s="101"/>
      <c r="CAE6" s="101"/>
      <c r="CAF6" s="101"/>
      <c r="CAG6" s="101"/>
      <c r="CAH6" s="101"/>
      <c r="CAI6" s="101"/>
      <c r="CAJ6" s="101"/>
      <c r="CAK6" s="101"/>
      <c r="CAL6" s="101"/>
      <c r="CAM6" s="101"/>
      <c r="CAN6" s="101"/>
      <c r="CAO6" s="101"/>
      <c r="CAP6" s="101"/>
      <c r="CAQ6" s="101"/>
      <c r="CAR6" s="101"/>
      <c r="CAS6" s="101"/>
      <c r="CAT6" s="101"/>
      <c r="CAU6" s="101"/>
      <c r="CAV6" s="101"/>
      <c r="CAW6" s="101"/>
      <c r="CAX6" s="101"/>
      <c r="CAY6" s="101"/>
      <c r="CAZ6" s="101"/>
      <c r="CBA6" s="101"/>
      <c r="CBB6" s="101"/>
      <c r="CBC6" s="101"/>
      <c r="CBD6" s="101"/>
      <c r="CBE6" s="101"/>
      <c r="CBF6" s="101"/>
      <c r="CBG6" s="101"/>
      <c r="CBH6" s="101"/>
      <c r="CBI6" s="101"/>
      <c r="CBJ6" s="101"/>
      <c r="CBK6" s="101"/>
      <c r="CBL6" s="101"/>
      <c r="CBM6" s="101"/>
      <c r="CBN6" s="101"/>
      <c r="CBO6" s="101"/>
      <c r="CBP6" s="101"/>
      <c r="CBQ6" s="101"/>
      <c r="CBR6" s="101"/>
      <c r="CBS6" s="101"/>
      <c r="CBT6" s="101"/>
      <c r="CBU6" s="101"/>
      <c r="CBV6" s="101"/>
      <c r="CBW6" s="101"/>
      <c r="CBX6" s="101"/>
      <c r="CBY6" s="101"/>
      <c r="CBZ6" s="101"/>
      <c r="CCA6" s="101"/>
      <c r="CCB6" s="101"/>
      <c r="CCC6" s="101"/>
      <c r="CCD6" s="101"/>
      <c r="CCE6" s="101"/>
      <c r="CCF6" s="101"/>
      <c r="CCG6" s="101"/>
      <c r="CCH6" s="101"/>
      <c r="CCI6" s="101"/>
      <c r="CCJ6" s="101"/>
      <c r="CCK6" s="101"/>
      <c r="CCL6" s="101"/>
      <c r="CCM6" s="101"/>
      <c r="CCN6" s="101"/>
      <c r="CCO6" s="101"/>
      <c r="CCP6" s="101"/>
      <c r="CCQ6" s="101"/>
      <c r="CCR6" s="101"/>
      <c r="CCS6" s="101"/>
      <c r="CCT6" s="101"/>
      <c r="CCU6" s="101"/>
      <c r="CCV6" s="101"/>
    </row>
    <row r="7" spans="1:2129 15008:15068 15384:15392" ht="14.1" customHeight="1" x14ac:dyDescent="0.25">
      <c r="G7" s="100" t="s">
        <v>97</v>
      </c>
      <c r="H7" s="99"/>
      <c r="I7" s="98"/>
      <c r="J7" s="196"/>
      <c r="K7" s="97"/>
      <c r="L7" s="96"/>
      <c r="M7" s="95"/>
      <c r="N7" s="172"/>
      <c r="O7" s="172"/>
      <c r="P7" s="186"/>
      <c r="Q7" s="179"/>
      <c r="R7" s="96"/>
      <c r="S7" s="96"/>
      <c r="T7" s="95"/>
      <c r="U7" s="199"/>
      <c r="V7" s="199"/>
      <c r="W7" s="199"/>
      <c r="X7" s="94"/>
      <c r="Y7" s="94"/>
      <c r="Z7" s="94"/>
      <c r="AA7" s="94"/>
      <c r="AB7" s="94"/>
      <c r="AC7" s="92" t="s">
        <v>96</v>
      </c>
      <c r="AD7" s="92"/>
      <c r="AE7" s="92"/>
      <c r="AF7" s="92"/>
      <c r="AG7" s="92"/>
      <c r="AH7" s="92"/>
      <c r="AI7" s="92"/>
      <c r="AJ7" s="91" t="s">
        <v>95</v>
      </c>
      <c r="AK7" s="91"/>
      <c r="AL7" s="91"/>
      <c r="AM7" s="91"/>
      <c r="AN7" s="91"/>
      <c r="AO7" s="91"/>
      <c r="AP7" s="91"/>
      <c r="AQ7" s="92" t="s">
        <v>94</v>
      </c>
      <c r="AR7" s="92"/>
      <c r="AS7" s="92"/>
      <c r="AT7" s="92"/>
      <c r="AU7" s="92"/>
      <c r="AV7" s="92"/>
      <c r="AW7" s="92"/>
      <c r="AX7" s="91" t="s">
        <v>93</v>
      </c>
      <c r="AY7" s="91"/>
      <c r="AZ7" s="91"/>
      <c r="BA7" s="91"/>
      <c r="BB7" s="91"/>
      <c r="BC7" s="93"/>
      <c r="BD7" s="91"/>
      <c r="BE7" s="92" t="s">
        <v>92</v>
      </c>
      <c r="BF7" s="92"/>
      <c r="BG7" s="92"/>
      <c r="BH7" s="92"/>
      <c r="BI7" s="92"/>
      <c r="BJ7" s="92"/>
      <c r="BK7" s="92"/>
      <c r="BL7" s="91" t="s">
        <v>91</v>
      </c>
      <c r="BM7" s="91"/>
      <c r="BN7" s="91"/>
      <c r="BO7" s="93"/>
      <c r="BP7" s="91"/>
      <c r="BQ7" s="91"/>
      <c r="BR7" s="91"/>
      <c r="BS7" s="92" t="s">
        <v>90</v>
      </c>
      <c r="BT7" s="92"/>
      <c r="BU7" s="92"/>
      <c r="BV7" s="92"/>
      <c r="BW7" s="92"/>
      <c r="BX7" s="92"/>
      <c r="BY7" s="92"/>
      <c r="BZ7" s="91" t="s">
        <v>89</v>
      </c>
      <c r="CA7" s="91"/>
      <c r="CB7" s="91"/>
      <c r="CC7" s="91"/>
      <c r="CD7" s="91"/>
      <c r="CE7" s="91"/>
      <c r="CF7" s="91"/>
      <c r="CG7" s="92"/>
      <c r="CH7" s="92"/>
      <c r="CI7" s="92"/>
      <c r="CJ7" s="92"/>
      <c r="CK7" s="92"/>
      <c r="CL7" s="92"/>
      <c r="CM7" s="92"/>
      <c r="CN7" s="91"/>
      <c r="CO7" s="91"/>
      <c r="CP7" s="91"/>
      <c r="CQ7" s="91"/>
      <c r="CR7" s="91"/>
      <c r="CS7" s="91"/>
      <c r="CT7" s="91"/>
      <c r="CU7" s="92"/>
      <c r="CV7" s="92"/>
      <c r="CW7" s="92"/>
      <c r="CX7" s="92"/>
      <c r="CY7" s="92"/>
      <c r="CZ7" s="92"/>
      <c r="DA7" s="92"/>
      <c r="DB7" s="91"/>
      <c r="DC7" s="91"/>
      <c r="DD7" s="91"/>
      <c r="DE7" s="91"/>
      <c r="DF7" s="91"/>
      <c r="DG7" s="91"/>
      <c r="DH7" s="91"/>
      <c r="DI7" s="92"/>
      <c r="DJ7" s="92"/>
      <c r="DK7" s="92"/>
      <c r="DL7" s="92"/>
      <c r="DM7" s="92"/>
      <c r="DN7" s="92"/>
      <c r="DO7" s="92"/>
      <c r="DP7" s="91"/>
      <c r="DQ7" s="91"/>
      <c r="DR7" s="91"/>
      <c r="DS7" s="91"/>
      <c r="DT7" s="91"/>
      <c r="DU7" s="91"/>
      <c r="DV7" s="91"/>
      <c r="DW7" s="92"/>
      <c r="DX7" s="92"/>
      <c r="DY7" s="92"/>
      <c r="DZ7" s="92"/>
      <c r="EA7" s="92"/>
      <c r="EB7" s="92"/>
      <c r="EC7" s="92"/>
      <c r="ED7" s="91"/>
      <c r="EE7" s="91"/>
      <c r="EF7" s="91"/>
      <c r="EG7" s="91"/>
      <c r="EH7" s="91"/>
      <c r="EI7" s="91"/>
      <c r="EJ7" s="91"/>
      <c r="EK7" s="92"/>
      <c r="EL7" s="92"/>
      <c r="EM7" s="92"/>
      <c r="EN7" s="92"/>
      <c r="EO7" s="92"/>
      <c r="EP7" s="92"/>
      <c r="EQ7" s="92"/>
      <c r="ER7" s="91"/>
      <c r="ES7" s="91"/>
      <c r="ET7" s="91"/>
      <c r="EU7" s="91"/>
      <c r="EV7" s="91"/>
      <c r="EW7" s="91"/>
      <c r="EX7" s="91"/>
      <c r="EY7" s="92"/>
      <c r="EZ7" s="92"/>
      <c r="FA7" s="92"/>
      <c r="FB7" s="92"/>
      <c r="FC7" s="92"/>
      <c r="FD7" s="92"/>
      <c r="FE7" s="92"/>
      <c r="FF7" s="91"/>
      <c r="FG7" s="91"/>
      <c r="FH7" s="91"/>
      <c r="FI7" s="91"/>
      <c r="FJ7" s="91"/>
      <c r="FK7" s="91"/>
      <c r="FL7" s="91"/>
      <c r="FM7" s="92"/>
      <c r="FN7" s="92"/>
      <c r="FO7" s="92"/>
      <c r="FP7" s="92"/>
      <c r="FQ7" s="92"/>
      <c r="FR7" s="92"/>
      <c r="FS7" s="92"/>
      <c r="FT7" s="91"/>
      <c r="FU7" s="91"/>
      <c r="FV7" s="91"/>
      <c r="FW7" s="91"/>
      <c r="FX7" s="91"/>
      <c r="FY7" s="91"/>
      <c r="FZ7" s="91"/>
      <c r="GA7" s="92"/>
      <c r="GB7" s="92"/>
      <c r="GC7" s="92"/>
      <c r="GD7" s="92"/>
      <c r="GE7" s="92"/>
      <c r="GF7" s="92"/>
      <c r="GG7" s="92"/>
      <c r="GH7" s="91"/>
      <c r="GI7" s="91"/>
      <c r="GJ7" s="91"/>
      <c r="GK7" s="91"/>
      <c r="GL7" s="91"/>
      <c r="GM7" s="91"/>
      <c r="GN7" s="91"/>
      <c r="GO7" s="92"/>
      <c r="GP7" s="92"/>
      <c r="GQ7" s="92"/>
      <c r="GR7" s="92"/>
      <c r="GS7" s="92"/>
      <c r="GT7" s="92"/>
      <c r="GU7" s="92"/>
      <c r="GV7" s="91"/>
      <c r="GW7" s="91"/>
      <c r="GX7" s="91"/>
      <c r="GY7" s="91"/>
      <c r="GZ7" s="91"/>
      <c r="HA7" s="91"/>
      <c r="HB7" s="91"/>
      <c r="HC7" s="92"/>
      <c r="HD7" s="92"/>
      <c r="HE7" s="92"/>
      <c r="HF7" s="92"/>
      <c r="HG7" s="92"/>
      <c r="HH7" s="92"/>
      <c r="HI7" s="92"/>
      <c r="HJ7" s="91"/>
      <c r="HK7" s="91"/>
      <c r="HL7" s="91"/>
      <c r="HM7" s="91"/>
      <c r="HN7" s="91"/>
      <c r="HO7" s="91"/>
      <c r="HP7" s="91"/>
      <c r="HQ7" s="92"/>
      <c r="HR7" s="92"/>
      <c r="HS7" s="92"/>
      <c r="HT7" s="92"/>
      <c r="HU7" s="92"/>
      <c r="HV7" s="92"/>
      <c r="HW7" s="92"/>
      <c r="HX7" s="91"/>
      <c r="HY7" s="91"/>
      <c r="HZ7" s="91"/>
      <c r="IA7" s="91"/>
      <c r="IB7" s="91"/>
      <c r="IC7" s="91"/>
      <c r="ID7" s="91"/>
      <c r="IE7" s="92"/>
      <c r="IF7" s="92"/>
      <c r="IG7" s="92"/>
      <c r="IH7" s="92"/>
      <c r="II7" s="92"/>
      <c r="IJ7" s="92"/>
      <c r="IK7" s="92"/>
      <c r="IL7" s="91"/>
      <c r="IM7" s="91"/>
      <c r="IN7" s="91"/>
      <c r="IO7" s="91"/>
      <c r="IP7" s="91"/>
      <c r="IQ7" s="91"/>
      <c r="IR7" s="91"/>
      <c r="IS7" s="92"/>
      <c r="IT7" s="92"/>
      <c r="IU7" s="92"/>
      <c r="IV7" s="92"/>
      <c r="IW7" s="92"/>
      <c r="IX7" s="92"/>
      <c r="IY7" s="92"/>
      <c r="IZ7" s="91"/>
      <c r="JA7" s="91"/>
      <c r="JB7" s="91"/>
      <c r="JC7" s="91"/>
      <c r="JD7" s="91"/>
      <c r="JE7" s="91"/>
      <c r="JF7" s="91"/>
      <c r="JG7" s="92"/>
      <c r="JH7" s="92"/>
      <c r="JI7" s="92"/>
      <c r="JJ7" s="92"/>
      <c r="JK7" s="92"/>
      <c r="JL7" s="92"/>
      <c r="JM7" s="92"/>
      <c r="JN7" s="91"/>
      <c r="JO7" s="91"/>
      <c r="JP7" s="91"/>
      <c r="JQ7" s="91"/>
      <c r="JR7" s="91"/>
      <c r="JS7" s="91"/>
      <c r="JT7" s="91"/>
      <c r="JU7" s="92"/>
      <c r="JV7" s="92"/>
      <c r="JW7" s="92"/>
      <c r="JX7" s="92"/>
      <c r="JY7" s="92"/>
      <c r="JZ7" s="92"/>
      <c r="KA7" s="92"/>
      <c r="KB7" s="91"/>
      <c r="KC7" s="91"/>
      <c r="KD7" s="91"/>
      <c r="KE7" s="91"/>
      <c r="KF7" s="91"/>
      <c r="KG7" s="91"/>
      <c r="KH7" s="91"/>
      <c r="KI7" s="92"/>
      <c r="KJ7" s="92"/>
      <c r="KK7" s="92"/>
      <c r="KL7" s="92"/>
      <c r="KM7" s="92"/>
      <c r="KN7" s="92"/>
      <c r="KO7" s="92"/>
      <c r="KP7" s="91"/>
      <c r="KQ7" s="91"/>
      <c r="KR7" s="91"/>
      <c r="KS7" s="91"/>
      <c r="KT7" s="91"/>
      <c r="KU7" s="91"/>
      <c r="KV7" s="91"/>
      <c r="KW7" s="92"/>
      <c r="KX7" s="92"/>
      <c r="KY7" s="92"/>
      <c r="KZ7" s="92"/>
      <c r="LA7" s="92"/>
      <c r="LB7" s="92"/>
      <c r="LC7" s="92"/>
      <c r="LD7" s="91"/>
      <c r="LE7" s="91"/>
      <c r="LF7" s="91"/>
      <c r="LG7" s="91"/>
      <c r="LH7" s="91"/>
      <c r="LI7" s="91"/>
      <c r="LJ7" s="91"/>
      <c r="LK7" s="92"/>
      <c r="LL7" s="92"/>
      <c r="LM7" s="92"/>
      <c r="LN7" s="92"/>
      <c r="LO7" s="92"/>
      <c r="LP7" s="92"/>
      <c r="LQ7" s="92"/>
      <c r="LR7" s="91"/>
      <c r="LS7" s="91"/>
      <c r="LT7" s="91"/>
      <c r="LU7" s="91"/>
      <c r="LV7" s="91"/>
      <c r="LW7" s="91"/>
      <c r="LX7" s="91"/>
      <c r="LY7" s="92"/>
      <c r="LZ7" s="92"/>
      <c r="MA7" s="92"/>
      <c r="MB7" s="92"/>
      <c r="MC7" s="92"/>
      <c r="MD7" s="92"/>
      <c r="ME7" s="92"/>
      <c r="MF7" s="91"/>
      <c r="MG7" s="91"/>
      <c r="MH7" s="91"/>
      <c r="MI7" s="91"/>
      <c r="MJ7" s="91"/>
      <c r="MK7" s="91"/>
      <c r="ML7" s="91"/>
      <c r="MM7" s="92"/>
      <c r="MN7" s="92"/>
      <c r="MO7" s="92"/>
      <c r="MP7" s="92"/>
      <c r="MQ7" s="92"/>
      <c r="MR7" s="92"/>
      <c r="MS7" s="92"/>
      <c r="MT7" s="91"/>
      <c r="MU7" s="91"/>
      <c r="MV7" s="91"/>
      <c r="MW7" s="91"/>
      <c r="MX7" s="91"/>
      <c r="MY7" s="91"/>
      <c r="MZ7" s="91"/>
      <c r="NA7" s="92"/>
      <c r="NB7" s="92"/>
      <c r="NC7" s="92"/>
      <c r="ND7" s="92"/>
      <c r="NE7" s="92"/>
      <c r="NF7" s="92"/>
      <c r="NG7" s="92"/>
      <c r="NH7" s="91"/>
      <c r="NI7" s="91"/>
      <c r="NJ7" s="91"/>
      <c r="NK7" s="91"/>
      <c r="NL7" s="91"/>
      <c r="NM7" s="91"/>
      <c r="NN7" s="91"/>
      <c r="NO7" s="92"/>
      <c r="NP7" s="92"/>
      <c r="NQ7" s="92"/>
      <c r="NR7" s="92"/>
      <c r="NS7" s="92"/>
      <c r="NT7" s="92"/>
      <c r="NU7" s="92"/>
      <c r="NV7" s="91"/>
      <c r="NW7" s="91"/>
      <c r="NX7" s="91"/>
      <c r="NY7" s="91"/>
      <c r="NZ7" s="91"/>
      <c r="OA7" s="91"/>
      <c r="OB7" s="91"/>
      <c r="OC7" s="92"/>
      <c r="OD7" s="92"/>
      <c r="OE7" s="92"/>
      <c r="OF7" s="92"/>
      <c r="OG7" s="92"/>
      <c r="OH7" s="92"/>
      <c r="OI7" s="92"/>
      <c r="OJ7" s="91"/>
      <c r="OK7" s="91"/>
      <c r="OL7" s="91"/>
      <c r="OM7" s="91"/>
      <c r="ON7" s="91"/>
      <c r="OO7" s="91"/>
      <c r="OP7" s="91"/>
      <c r="OQ7" s="92"/>
      <c r="OR7" s="92"/>
      <c r="OS7" s="92"/>
      <c r="OT7" s="92"/>
      <c r="OU7" s="92"/>
      <c r="OV7" s="92"/>
      <c r="OW7" s="92"/>
      <c r="OX7" s="91"/>
      <c r="OY7" s="91"/>
      <c r="OZ7" s="91"/>
      <c r="PA7" s="91"/>
      <c r="PB7" s="91"/>
      <c r="PC7" s="91"/>
      <c r="PD7" s="91"/>
      <c r="PE7" s="92"/>
      <c r="PF7" s="92"/>
      <c r="PG7" s="92"/>
      <c r="PH7" s="92"/>
      <c r="PI7" s="92"/>
      <c r="PJ7" s="92"/>
      <c r="PK7" s="92"/>
      <c r="PL7" s="91"/>
      <c r="PM7" s="91"/>
      <c r="PN7" s="91"/>
      <c r="PO7" s="91"/>
      <c r="PP7" s="91"/>
      <c r="PQ7" s="91"/>
      <c r="PR7" s="91"/>
      <c r="PS7" s="92"/>
      <c r="PT7" s="92"/>
      <c r="PU7" s="92"/>
      <c r="PV7" s="92"/>
      <c r="PW7" s="92"/>
      <c r="PX7" s="92"/>
      <c r="PY7" s="92"/>
      <c r="PZ7" s="91"/>
      <c r="QA7" s="91"/>
      <c r="QB7" s="91"/>
      <c r="QC7" s="91"/>
      <c r="QD7" s="91"/>
      <c r="QE7" s="91"/>
      <c r="QF7" s="91"/>
      <c r="QG7" s="92"/>
      <c r="QH7" s="92"/>
      <c r="QI7" s="92"/>
      <c r="QJ7" s="92"/>
      <c r="QK7" s="92"/>
      <c r="QL7" s="92"/>
      <c r="QM7" s="92"/>
      <c r="QN7" s="91"/>
      <c r="QO7" s="91"/>
      <c r="QP7" s="91"/>
      <c r="QQ7" s="91"/>
      <c r="QR7" s="91"/>
      <c r="QS7" s="91"/>
      <c r="QT7" s="91"/>
      <c r="QU7" s="92"/>
      <c r="QV7" s="92"/>
      <c r="QW7" s="92"/>
      <c r="QX7" s="92"/>
      <c r="QY7" s="92"/>
      <c r="QZ7" s="92"/>
      <c r="RA7" s="92"/>
      <c r="RB7" s="91"/>
      <c r="RC7" s="91"/>
      <c r="RD7" s="91"/>
      <c r="RE7" s="91"/>
      <c r="RF7" s="91"/>
      <c r="RG7" s="91"/>
      <c r="RH7" s="91"/>
      <c r="RI7" s="92"/>
      <c r="RJ7" s="92"/>
      <c r="RK7" s="92"/>
      <c r="RL7" s="92"/>
      <c r="RM7" s="92"/>
      <c r="RN7" s="92"/>
      <c r="RO7" s="92"/>
      <c r="RP7" s="91"/>
      <c r="RQ7" s="91"/>
      <c r="RR7" s="91"/>
      <c r="RS7" s="91"/>
      <c r="RT7" s="91"/>
      <c r="RU7" s="91"/>
      <c r="RV7" s="91"/>
      <c r="RW7" s="92"/>
      <c r="RX7" s="92"/>
      <c r="RY7" s="92"/>
      <c r="RZ7" s="92"/>
      <c r="SA7" s="92"/>
      <c r="SB7" s="92"/>
      <c r="SC7" s="92"/>
      <c r="SD7" s="91"/>
      <c r="SE7" s="91"/>
      <c r="SF7" s="91"/>
      <c r="SG7" s="91"/>
      <c r="SH7" s="91"/>
      <c r="SI7" s="91"/>
      <c r="SJ7" s="91"/>
      <c r="SK7" s="92"/>
      <c r="SL7" s="92"/>
      <c r="SM7" s="92"/>
      <c r="SN7" s="92"/>
      <c r="SO7" s="92"/>
      <c r="SP7" s="92"/>
      <c r="SQ7" s="92"/>
      <c r="SR7" s="91"/>
      <c r="SS7" s="91"/>
      <c r="ST7" s="91"/>
      <c r="SU7" s="91"/>
      <c r="SV7" s="91"/>
      <c r="SW7" s="91"/>
      <c r="SX7" s="91"/>
      <c r="SY7" s="92"/>
      <c r="SZ7" s="92"/>
      <c r="TA7" s="92"/>
      <c r="TB7" s="92"/>
      <c r="TC7" s="92"/>
      <c r="TD7" s="92"/>
      <c r="TE7" s="92"/>
      <c r="TF7" s="91"/>
      <c r="TG7" s="91"/>
      <c r="TH7" s="91"/>
      <c r="TI7" s="91"/>
      <c r="TJ7" s="91"/>
      <c r="TK7" s="91"/>
      <c r="TL7" s="91"/>
      <c r="TM7" s="92"/>
      <c r="TN7" s="92"/>
      <c r="TO7" s="92"/>
      <c r="TP7" s="92"/>
      <c r="TQ7" s="92"/>
      <c r="TR7" s="92"/>
      <c r="TS7" s="92"/>
      <c r="TT7" s="91"/>
      <c r="TU7" s="91"/>
      <c r="TV7" s="91"/>
      <c r="TW7" s="91"/>
      <c r="TX7" s="91"/>
      <c r="TY7" s="91"/>
      <c r="TZ7" s="91"/>
      <c r="UA7" s="92"/>
      <c r="UB7" s="92"/>
      <c r="UC7" s="92"/>
      <c r="UD7" s="92"/>
      <c r="UE7" s="92"/>
      <c r="UF7" s="92"/>
      <c r="UG7" s="92"/>
      <c r="UH7" s="91"/>
      <c r="UI7" s="91"/>
      <c r="UJ7" s="91"/>
      <c r="UK7" s="91"/>
      <c r="UL7" s="91"/>
      <c r="UM7" s="91"/>
      <c r="UN7" s="91"/>
      <c r="UO7" s="92"/>
      <c r="UP7" s="92"/>
      <c r="UQ7" s="92"/>
      <c r="UR7" s="92"/>
      <c r="US7" s="92"/>
      <c r="UT7" s="92"/>
      <c r="UU7" s="92"/>
      <c r="UV7" s="91"/>
      <c r="UW7" s="91"/>
      <c r="UX7" s="91"/>
      <c r="UY7" s="91"/>
      <c r="UZ7" s="91"/>
      <c r="VA7" s="91"/>
      <c r="VB7" s="91"/>
      <c r="VC7" s="92"/>
      <c r="VD7" s="92"/>
      <c r="VE7" s="92"/>
      <c r="VF7" s="92"/>
      <c r="VG7" s="92"/>
      <c r="VH7" s="92"/>
      <c r="VI7" s="92"/>
      <c r="VJ7" s="91"/>
      <c r="VK7" s="91"/>
      <c r="VL7" s="91"/>
      <c r="VM7" s="91"/>
      <c r="VN7" s="91"/>
      <c r="VO7" s="91"/>
      <c r="VP7" s="91"/>
      <c r="VQ7" s="92"/>
      <c r="VR7" s="92"/>
      <c r="VS7" s="92"/>
      <c r="VT7" s="92"/>
      <c r="VU7" s="92"/>
      <c r="VV7" s="92"/>
      <c r="VW7" s="92"/>
      <c r="VX7" s="91"/>
      <c r="VY7" s="91"/>
      <c r="VZ7" s="91"/>
      <c r="WA7" s="91"/>
      <c r="WB7" s="91"/>
      <c r="WC7" s="91"/>
      <c r="WD7" s="91"/>
      <c r="WE7" s="92"/>
      <c r="WF7" s="92"/>
      <c r="WG7" s="92"/>
      <c r="WH7" s="92"/>
      <c r="WI7" s="92"/>
      <c r="WJ7" s="92"/>
      <c r="WK7" s="92"/>
      <c r="WL7" s="91"/>
      <c r="WM7" s="91"/>
      <c r="WN7" s="91"/>
      <c r="WO7" s="91"/>
      <c r="WP7" s="91"/>
      <c r="WQ7" s="91"/>
      <c r="WR7" s="91"/>
      <c r="WS7" s="92"/>
      <c r="WT7" s="92"/>
      <c r="WU7" s="92"/>
      <c r="WV7" s="92"/>
      <c r="WW7" s="92"/>
      <c r="WX7" s="92"/>
      <c r="WY7" s="92"/>
      <c r="WZ7" s="91"/>
      <c r="XA7" s="91"/>
      <c r="XB7" s="91"/>
      <c r="XC7" s="91"/>
      <c r="XD7" s="91"/>
      <c r="XE7" s="91"/>
      <c r="XF7" s="91"/>
      <c r="XG7" s="92"/>
      <c r="XH7" s="92"/>
      <c r="XI7" s="92"/>
      <c r="XJ7" s="92"/>
      <c r="XK7" s="92"/>
      <c r="XL7" s="92"/>
      <c r="XM7" s="92"/>
      <c r="XN7" s="91"/>
      <c r="XO7" s="91"/>
      <c r="XP7" s="91"/>
      <c r="XQ7" s="91"/>
      <c r="XR7" s="91"/>
      <c r="XS7" s="91"/>
      <c r="XT7" s="91"/>
      <c r="XU7" s="92"/>
      <c r="XV7" s="92"/>
      <c r="XW7" s="92"/>
      <c r="XX7" s="92"/>
      <c r="XY7" s="92"/>
      <c r="XZ7" s="92"/>
      <c r="YA7" s="92"/>
      <c r="YB7" s="91"/>
      <c r="YC7" s="91"/>
      <c r="YD7" s="91"/>
      <c r="YE7" s="91"/>
      <c r="YF7" s="91"/>
      <c r="YG7" s="91"/>
      <c r="YH7" s="91"/>
      <c r="YI7" s="92"/>
      <c r="YJ7" s="92"/>
      <c r="YK7" s="92"/>
      <c r="YL7" s="92"/>
      <c r="YM7" s="92"/>
      <c r="YN7" s="92"/>
      <c r="YO7" s="92"/>
      <c r="YP7" s="91"/>
      <c r="YQ7" s="91"/>
      <c r="YR7" s="91"/>
      <c r="YS7" s="91"/>
      <c r="YT7" s="91"/>
      <c r="YU7" s="91"/>
      <c r="YV7" s="91"/>
      <c r="YW7" s="92"/>
      <c r="YX7" s="92"/>
      <c r="YY7" s="92"/>
      <c r="YZ7" s="92"/>
      <c r="ZA7" s="92"/>
      <c r="ZB7" s="92"/>
      <c r="ZC7" s="92"/>
      <c r="ZD7" s="91"/>
      <c r="ZE7" s="91"/>
      <c r="ZF7" s="91"/>
      <c r="ZG7" s="91"/>
      <c r="ZH7" s="91"/>
      <c r="ZI7" s="91"/>
      <c r="ZJ7" s="91"/>
      <c r="ZK7" s="92"/>
      <c r="ZL7" s="92"/>
      <c r="ZM7" s="92"/>
      <c r="ZN7" s="92"/>
      <c r="ZO7" s="92"/>
      <c r="ZP7" s="92"/>
      <c r="ZQ7" s="92"/>
      <c r="ZR7" s="91"/>
      <c r="ZS7" s="91"/>
      <c r="ZT7" s="91"/>
      <c r="ZU7" s="91"/>
      <c r="ZV7" s="91"/>
      <c r="ZW7" s="91"/>
      <c r="ZX7" s="91"/>
      <c r="ZY7" s="92"/>
      <c r="ZZ7" s="92"/>
      <c r="AAA7" s="92"/>
      <c r="AAB7" s="92"/>
      <c r="AAC7" s="92"/>
      <c r="AAD7" s="92"/>
      <c r="AAE7" s="92"/>
      <c r="AAF7" s="91"/>
      <c r="AAG7" s="91"/>
      <c r="AAH7" s="91"/>
      <c r="AAI7" s="91"/>
      <c r="AAJ7" s="91"/>
      <c r="AAK7" s="91"/>
      <c r="AAL7" s="91"/>
      <c r="AAM7" s="92"/>
      <c r="AAN7" s="92"/>
      <c r="AAO7" s="92"/>
      <c r="AAP7" s="92"/>
      <c r="AAQ7" s="92"/>
      <c r="AAR7" s="92"/>
      <c r="AAS7" s="92"/>
      <c r="AAT7" s="91"/>
      <c r="AAU7" s="91"/>
      <c r="AAV7" s="91"/>
      <c r="AAW7" s="91"/>
      <c r="AAX7" s="91"/>
      <c r="AAY7" s="91"/>
      <c r="AAZ7" s="91"/>
      <c r="ABA7" s="92"/>
      <c r="ABB7" s="92"/>
      <c r="ABC7" s="92"/>
      <c r="ABD7" s="92"/>
      <c r="ABE7" s="92"/>
      <c r="ABF7" s="92"/>
      <c r="ABG7" s="92"/>
      <c r="ABH7" s="91"/>
      <c r="ABI7" s="91"/>
      <c r="ABJ7" s="91"/>
      <c r="ABK7" s="91"/>
      <c r="ABL7" s="91"/>
      <c r="ABM7" s="91"/>
      <c r="ABN7" s="91"/>
      <c r="ABO7" s="92"/>
      <c r="ABP7" s="92"/>
      <c r="ABQ7" s="92"/>
      <c r="ABR7" s="92"/>
      <c r="ABS7" s="92"/>
      <c r="ABT7" s="92"/>
      <c r="ABU7" s="92"/>
      <c r="ABV7" s="91"/>
      <c r="ABW7" s="91"/>
      <c r="ABX7" s="91"/>
      <c r="ABY7" s="91"/>
      <c r="ABZ7" s="91"/>
      <c r="ACA7" s="91"/>
      <c r="ACB7" s="91"/>
      <c r="ACC7" s="92"/>
      <c r="ACD7" s="92"/>
      <c r="ACE7" s="92"/>
      <c r="ACF7" s="92"/>
      <c r="ACG7" s="92"/>
      <c r="ACH7" s="92"/>
      <c r="ACI7" s="92"/>
      <c r="ACJ7" s="91"/>
      <c r="ACK7" s="91"/>
      <c r="ACL7" s="91"/>
      <c r="ACM7" s="91"/>
      <c r="ACN7" s="91"/>
      <c r="ACO7" s="91"/>
      <c r="ACP7" s="91"/>
      <c r="ACQ7" s="92"/>
      <c r="ACR7" s="92"/>
      <c r="ACS7" s="92"/>
      <c r="ACT7" s="92"/>
      <c r="ACU7" s="92"/>
      <c r="ACV7" s="92"/>
      <c r="ACW7" s="92"/>
      <c r="ACX7" s="91"/>
      <c r="ACY7" s="91"/>
      <c r="ACZ7" s="91"/>
      <c r="ADA7" s="91"/>
      <c r="ADB7" s="91"/>
      <c r="ADC7" s="91"/>
      <c r="ADD7" s="91"/>
      <c r="ADE7" s="92"/>
      <c r="ADF7" s="92"/>
      <c r="ADG7" s="92"/>
      <c r="ADH7" s="92"/>
      <c r="ADI7" s="92"/>
      <c r="ADJ7" s="92"/>
      <c r="ADK7" s="92"/>
      <c r="ADL7" s="91"/>
      <c r="ADM7" s="91"/>
      <c r="ADN7" s="91"/>
      <c r="ADO7" s="91"/>
      <c r="ADP7" s="91"/>
      <c r="ADQ7" s="91"/>
      <c r="ADR7" s="91"/>
      <c r="ADS7" s="92"/>
      <c r="ADT7" s="92"/>
      <c r="ADU7" s="92"/>
      <c r="ADV7" s="92"/>
      <c r="ADW7" s="92"/>
      <c r="ADX7" s="92"/>
      <c r="ADY7" s="92"/>
      <c r="ADZ7" s="91"/>
      <c r="AEA7" s="91"/>
      <c r="AEB7" s="91"/>
      <c r="AEC7" s="91"/>
      <c r="AED7" s="91"/>
      <c r="AEE7" s="91"/>
      <c r="AEF7" s="91"/>
      <c r="AEG7" s="92"/>
      <c r="AEH7" s="92"/>
      <c r="AEI7" s="92"/>
      <c r="AEJ7" s="92"/>
      <c r="AEK7" s="92"/>
      <c r="AEL7" s="92"/>
      <c r="AEM7" s="92"/>
      <c r="AEN7" s="91"/>
      <c r="AEO7" s="91"/>
      <c r="AEP7" s="91"/>
      <c r="AEQ7" s="91"/>
      <c r="AER7" s="91"/>
      <c r="AES7" s="91"/>
      <c r="AET7" s="91"/>
      <c r="AEU7" s="92"/>
      <c r="AEV7" s="92"/>
      <c r="AEW7" s="92"/>
      <c r="AEX7" s="92"/>
      <c r="AEY7" s="92"/>
      <c r="AEZ7" s="92"/>
      <c r="AFA7" s="92"/>
      <c r="AFB7" s="91"/>
      <c r="AFC7" s="91"/>
      <c r="AFD7" s="91"/>
      <c r="AFE7" s="91"/>
      <c r="AFF7" s="91"/>
      <c r="AFG7" s="91"/>
      <c r="AFH7" s="91"/>
      <c r="AFI7" s="92"/>
      <c r="AFJ7" s="92"/>
      <c r="AFK7" s="92"/>
      <c r="AFL7" s="92"/>
      <c r="AFM7" s="92"/>
      <c r="AFN7" s="92"/>
      <c r="AFO7" s="92"/>
      <c r="AFP7" s="91"/>
      <c r="AFQ7" s="91"/>
      <c r="AFR7" s="91"/>
      <c r="AFS7" s="91"/>
      <c r="AFT7" s="91"/>
      <c r="AFU7" s="91"/>
      <c r="AFV7" s="91"/>
      <c r="AFW7" s="92"/>
      <c r="AFX7" s="92"/>
      <c r="AFY7" s="92"/>
      <c r="AFZ7" s="92"/>
      <c r="AGA7" s="92"/>
      <c r="AGB7" s="92"/>
      <c r="AGC7" s="92"/>
      <c r="AGD7" s="91"/>
      <c r="AGE7" s="91"/>
      <c r="AGF7" s="91"/>
      <c r="AGG7" s="91"/>
      <c r="AGH7" s="91"/>
      <c r="AGI7" s="91"/>
      <c r="AGJ7" s="91"/>
      <c r="AGK7" s="92"/>
      <c r="AGL7" s="92"/>
      <c r="AGM7" s="92"/>
      <c r="AGN7" s="92"/>
      <c r="AGO7" s="92"/>
      <c r="AGP7" s="92"/>
      <c r="AGQ7" s="92"/>
      <c r="AGR7" s="91"/>
      <c r="AGS7" s="91"/>
      <c r="AGT7" s="91"/>
      <c r="AGU7" s="91"/>
      <c r="AGV7" s="91"/>
      <c r="AGW7" s="91"/>
      <c r="AGX7" s="91"/>
      <c r="AGY7" s="92"/>
      <c r="AGZ7" s="92"/>
      <c r="AHA7" s="92"/>
      <c r="AHB7" s="92"/>
      <c r="AHC7" s="92"/>
      <c r="AHD7" s="92"/>
      <c r="AHE7" s="92"/>
      <c r="AHF7" s="91"/>
      <c r="AHG7" s="91"/>
      <c r="AHH7" s="91"/>
      <c r="AHI7" s="91"/>
      <c r="AHJ7" s="91"/>
      <c r="AHK7" s="91"/>
      <c r="AHL7" s="91"/>
      <c r="AHM7" s="92"/>
      <c r="AHN7" s="92"/>
      <c r="AHO7" s="92"/>
      <c r="AHP7" s="92"/>
      <c r="AHQ7" s="92"/>
      <c r="AHR7" s="92"/>
      <c r="AHS7" s="92"/>
      <c r="AHT7" s="91"/>
      <c r="AHU7" s="91"/>
      <c r="AHV7" s="91"/>
      <c r="AHW7" s="91"/>
      <c r="AHX7" s="91"/>
      <c r="AHY7" s="91"/>
      <c r="AHZ7" s="91"/>
      <c r="AIA7" s="92"/>
      <c r="AIB7" s="92"/>
      <c r="AIC7" s="92"/>
      <c r="AID7" s="92"/>
      <c r="AIE7" s="92"/>
      <c r="AIF7" s="92"/>
      <c r="AIG7" s="92"/>
      <c r="AIH7" s="91"/>
      <c r="AII7" s="91"/>
      <c r="AIJ7" s="91"/>
      <c r="AIK7" s="91"/>
      <c r="AIL7" s="91"/>
      <c r="AIM7" s="91"/>
      <c r="AIN7" s="91"/>
      <c r="AIO7" s="92"/>
      <c r="AIP7" s="92"/>
      <c r="AIQ7" s="92"/>
      <c r="AIR7" s="92"/>
      <c r="AIS7" s="92"/>
      <c r="AIT7" s="92"/>
      <c r="AIU7" s="92"/>
      <c r="AIV7" s="91"/>
      <c r="AIW7" s="91"/>
      <c r="AIX7" s="91"/>
      <c r="AIY7" s="91"/>
      <c r="AIZ7" s="91"/>
      <c r="AJA7" s="91"/>
      <c r="AJB7" s="91"/>
      <c r="AJC7" s="92"/>
      <c r="AJD7" s="92"/>
      <c r="AJE7" s="92"/>
      <c r="AJF7" s="92"/>
      <c r="AJG7" s="92"/>
      <c r="AJH7" s="92"/>
      <c r="AJI7" s="92"/>
      <c r="AJJ7" s="91"/>
      <c r="AJK7" s="91"/>
      <c r="AJL7" s="91"/>
      <c r="AJM7" s="91"/>
      <c r="AJN7" s="91"/>
      <c r="AJO7" s="91"/>
      <c r="AJP7" s="91"/>
      <c r="AJQ7" s="92"/>
      <c r="AJR7" s="92"/>
      <c r="AJS7" s="92"/>
      <c r="AJT7" s="92"/>
      <c r="AJU7" s="92"/>
      <c r="AJV7" s="92"/>
      <c r="AJW7" s="92"/>
      <c r="AJX7" s="91"/>
      <c r="AJY7" s="91"/>
      <c r="AJZ7" s="91"/>
      <c r="AKA7" s="91"/>
      <c r="AKB7" s="91"/>
      <c r="AKC7" s="91"/>
      <c r="AKD7" s="91"/>
      <c r="AKE7" s="92"/>
      <c r="AKF7" s="92"/>
      <c r="AKG7" s="92"/>
      <c r="AKH7" s="92"/>
      <c r="AKI7" s="92"/>
      <c r="AKJ7" s="92"/>
      <c r="AKK7" s="92"/>
      <c r="AKL7" s="91"/>
      <c r="AKM7" s="91"/>
      <c r="AKN7" s="91"/>
      <c r="AKO7" s="91"/>
      <c r="AKP7" s="91"/>
      <c r="AKQ7" s="91"/>
      <c r="AKR7" s="91"/>
      <c r="AKS7" s="92"/>
      <c r="AKT7" s="92"/>
      <c r="AKU7" s="92"/>
      <c r="AKV7" s="92"/>
      <c r="AKW7" s="92"/>
      <c r="AKX7" s="92"/>
      <c r="AKY7" s="92"/>
      <c r="AKZ7" s="91"/>
      <c r="ALA7" s="91"/>
      <c r="ALB7" s="91"/>
      <c r="ALC7" s="91"/>
      <c r="ALD7" s="91"/>
      <c r="ALE7" s="91"/>
      <c r="ALF7" s="91"/>
      <c r="ALG7" s="92"/>
      <c r="ALH7" s="92"/>
      <c r="ALI7" s="92"/>
      <c r="ALJ7" s="92"/>
      <c r="ALK7" s="92"/>
      <c r="ALL7" s="92"/>
      <c r="ALM7" s="92"/>
      <c r="ALN7" s="91"/>
      <c r="ALO7" s="91"/>
      <c r="ALP7" s="91"/>
      <c r="ALQ7" s="91"/>
      <c r="ALR7" s="91"/>
      <c r="ALS7" s="91"/>
      <c r="ALT7" s="91"/>
      <c r="ALU7" s="92"/>
      <c r="ALV7" s="92"/>
      <c r="ALW7" s="92"/>
      <c r="ALX7" s="92"/>
      <c r="ALY7" s="92"/>
      <c r="ALZ7" s="92"/>
      <c r="AMA7" s="92"/>
      <c r="AMB7" s="91"/>
      <c r="AMC7" s="91"/>
      <c r="AMD7" s="91"/>
      <c r="AME7" s="91"/>
      <c r="AMF7" s="91"/>
      <c r="AMG7" s="91"/>
      <c r="AMH7" s="91"/>
      <c r="AMI7" s="92"/>
      <c r="AMJ7" s="92"/>
      <c r="AMK7" s="92"/>
      <c r="AML7" s="92"/>
      <c r="AMM7" s="92"/>
      <c r="AMN7" s="92"/>
      <c r="AMO7" s="92"/>
      <c r="AMP7" s="91"/>
      <c r="AMQ7" s="91"/>
      <c r="AMR7" s="91"/>
      <c r="AMS7" s="91"/>
      <c r="AMT7" s="91"/>
      <c r="AMU7" s="91"/>
      <c r="AMV7" s="91"/>
      <c r="AMW7" s="92"/>
      <c r="AMX7" s="92"/>
      <c r="AMY7" s="92"/>
      <c r="AMZ7" s="92"/>
      <c r="ANA7" s="92"/>
      <c r="ANB7" s="92"/>
      <c r="ANC7" s="92"/>
      <c r="AND7" s="91"/>
      <c r="ANE7" s="91"/>
      <c r="ANF7" s="91"/>
      <c r="ANG7" s="91"/>
      <c r="ANH7" s="91"/>
      <c r="ANI7" s="91"/>
      <c r="ANJ7" s="91"/>
      <c r="ANK7" s="92"/>
      <c r="ANL7" s="92"/>
      <c r="ANM7" s="92"/>
      <c r="ANN7" s="92"/>
      <c r="ANO7" s="92"/>
      <c r="ANP7" s="92"/>
      <c r="ANQ7" s="92"/>
      <c r="ANR7" s="91"/>
      <c r="ANS7" s="91"/>
      <c r="ANT7" s="91"/>
      <c r="ANU7" s="91"/>
      <c r="ANV7" s="91"/>
      <c r="ANW7" s="91"/>
      <c r="ANX7" s="91"/>
      <c r="ANY7" s="92"/>
      <c r="ANZ7" s="92"/>
      <c r="AOA7" s="92"/>
      <c r="AOB7" s="92"/>
      <c r="AOC7" s="92"/>
      <c r="AOD7" s="92"/>
      <c r="AOE7" s="92"/>
      <c r="AOF7" s="91"/>
      <c r="AOG7" s="91"/>
      <c r="AOH7" s="91"/>
      <c r="AOI7" s="91"/>
      <c r="AOJ7" s="91"/>
      <c r="AOK7" s="91"/>
      <c r="AOL7" s="91"/>
      <c r="AOM7" s="92"/>
      <c r="AON7" s="92"/>
      <c r="AOO7" s="92"/>
      <c r="AOP7" s="92"/>
      <c r="AOQ7" s="92"/>
      <c r="AOR7" s="92"/>
      <c r="AOS7" s="92"/>
      <c r="AOT7" s="91"/>
      <c r="AOU7" s="91"/>
      <c r="AOV7" s="91"/>
      <c r="AOW7" s="91"/>
      <c r="AOX7" s="91"/>
      <c r="AOY7" s="91"/>
      <c r="AOZ7" s="91"/>
      <c r="APA7" s="92"/>
      <c r="APB7" s="92"/>
      <c r="APC7" s="92"/>
      <c r="APD7" s="92"/>
      <c r="APE7" s="92"/>
      <c r="APF7" s="92"/>
      <c r="APG7" s="92"/>
      <c r="APH7" s="91"/>
      <c r="API7" s="91"/>
      <c r="APJ7" s="91"/>
      <c r="APK7" s="91"/>
      <c r="APL7" s="91"/>
      <c r="APM7" s="91"/>
      <c r="APN7" s="91"/>
      <c r="APO7" s="92"/>
      <c r="APP7" s="92"/>
      <c r="APQ7" s="92"/>
      <c r="APR7" s="92"/>
      <c r="APS7" s="92"/>
      <c r="APT7" s="92"/>
      <c r="APU7" s="92"/>
      <c r="APV7" s="91"/>
      <c r="APW7" s="91"/>
      <c r="APX7" s="91"/>
      <c r="APY7" s="91"/>
      <c r="APZ7" s="91"/>
      <c r="AQA7" s="91"/>
      <c r="AQB7" s="91"/>
      <c r="AQC7" s="92"/>
      <c r="AQD7" s="92"/>
      <c r="AQE7" s="92"/>
      <c r="AQF7" s="92"/>
      <c r="AQG7" s="92"/>
      <c r="AQH7" s="92"/>
      <c r="AQI7" s="92"/>
      <c r="AQJ7" s="91"/>
      <c r="AQK7" s="91"/>
      <c r="AQL7" s="91"/>
      <c r="AQM7" s="91"/>
      <c r="AQN7" s="91"/>
      <c r="AQO7" s="91"/>
      <c r="AQP7" s="91"/>
      <c r="AQQ7" s="92"/>
      <c r="AQR7" s="92"/>
      <c r="AQS7" s="92"/>
      <c r="AQT7" s="92"/>
      <c r="AQU7" s="92"/>
      <c r="AQV7" s="92"/>
      <c r="AQW7" s="92"/>
      <c r="AQX7" s="91"/>
      <c r="AQY7" s="91"/>
      <c r="AQZ7" s="91"/>
      <c r="ARA7" s="91"/>
      <c r="ARB7" s="91"/>
      <c r="ARC7" s="91"/>
      <c r="ARD7" s="91"/>
      <c r="ARE7" s="92"/>
      <c r="ARF7" s="92"/>
      <c r="ARG7" s="92"/>
      <c r="ARH7" s="92"/>
      <c r="ARI7" s="92"/>
      <c r="ARJ7" s="92"/>
      <c r="ARK7" s="92"/>
      <c r="ARL7" s="91"/>
      <c r="ARM7" s="91"/>
      <c r="ARN7" s="91"/>
      <c r="ARO7" s="91"/>
      <c r="ARP7" s="91"/>
      <c r="ARQ7" s="91"/>
      <c r="ARR7" s="91"/>
      <c r="ARS7" s="92"/>
      <c r="ART7" s="92"/>
      <c r="ARU7" s="92"/>
      <c r="ARV7" s="92"/>
      <c r="ARW7" s="92"/>
      <c r="ARX7" s="92"/>
      <c r="ARY7" s="92"/>
      <c r="ARZ7" s="91"/>
      <c r="ASA7" s="91"/>
      <c r="ASB7" s="91"/>
      <c r="ASC7" s="91"/>
      <c r="ASD7" s="91"/>
      <c r="ASE7" s="91"/>
      <c r="ASF7" s="91"/>
      <c r="ASG7" s="92"/>
      <c r="ASH7" s="92"/>
      <c r="ASI7" s="92"/>
      <c r="ASJ7" s="92"/>
      <c r="ASK7" s="92"/>
      <c r="ASL7" s="92"/>
      <c r="ASM7" s="92"/>
      <c r="ASN7" s="91"/>
      <c r="ASO7" s="91"/>
      <c r="ASP7" s="91"/>
      <c r="ASQ7" s="91"/>
      <c r="ASR7" s="91"/>
      <c r="ASS7" s="91"/>
      <c r="AST7" s="91"/>
      <c r="ASU7" s="92"/>
      <c r="ASV7" s="92"/>
      <c r="ASW7" s="92"/>
      <c r="ASX7" s="92"/>
      <c r="ASY7" s="92"/>
      <c r="ASZ7" s="92"/>
      <c r="ATA7" s="92"/>
      <c r="ATB7" s="91"/>
      <c r="ATC7" s="91"/>
      <c r="ATD7" s="91"/>
      <c r="ATE7" s="91"/>
      <c r="ATF7" s="91"/>
      <c r="ATG7" s="91"/>
      <c r="ATH7" s="91"/>
      <c r="ATI7" s="92"/>
      <c r="ATJ7" s="92"/>
      <c r="ATK7" s="92"/>
      <c r="ATL7" s="92"/>
      <c r="ATM7" s="92"/>
      <c r="ATN7" s="92"/>
      <c r="ATO7" s="92"/>
      <c r="ATP7" s="91"/>
      <c r="ATQ7" s="91"/>
      <c r="ATR7" s="91"/>
      <c r="ATS7" s="91"/>
      <c r="ATT7" s="91"/>
      <c r="ATU7" s="91"/>
      <c r="ATV7" s="91"/>
      <c r="ATW7" s="92"/>
      <c r="ATX7" s="92"/>
      <c r="ATY7" s="92"/>
      <c r="ATZ7" s="92"/>
      <c r="AUA7" s="92"/>
      <c r="AUB7" s="92"/>
      <c r="AUC7" s="92"/>
      <c r="AUD7" s="91"/>
      <c r="AUE7" s="91"/>
      <c r="AUF7" s="91"/>
      <c r="AUG7" s="91"/>
      <c r="AUH7" s="91"/>
      <c r="AUI7" s="91"/>
      <c r="AUJ7" s="91"/>
      <c r="AUK7" s="92"/>
      <c r="AUL7" s="92"/>
      <c r="AUM7" s="92"/>
      <c r="AUN7" s="92"/>
      <c r="AUO7" s="92"/>
      <c r="AUP7" s="92"/>
      <c r="AUQ7" s="92"/>
      <c r="AUR7" s="91"/>
      <c r="AUS7" s="91"/>
      <c r="AUT7" s="91"/>
      <c r="AUU7" s="91"/>
      <c r="AUV7" s="91"/>
      <c r="AUW7" s="91"/>
      <c r="AUX7" s="91"/>
      <c r="AUY7" s="92"/>
      <c r="AUZ7" s="92"/>
      <c r="AVA7" s="92"/>
      <c r="AVB7" s="92"/>
      <c r="AVC7" s="92"/>
      <c r="AVD7" s="92"/>
      <c r="AVE7" s="92"/>
      <c r="AVF7" s="91"/>
      <c r="AVG7" s="91"/>
      <c r="AVH7" s="91"/>
      <c r="AVI7" s="91"/>
      <c r="AVJ7" s="91"/>
      <c r="AVK7" s="91"/>
      <c r="AVL7" s="91"/>
      <c r="AVM7" s="92"/>
      <c r="AVN7" s="92"/>
      <c r="AVO7" s="92"/>
      <c r="AVP7" s="92"/>
      <c r="AVQ7" s="92"/>
      <c r="AVR7" s="92"/>
      <c r="AVS7" s="92"/>
      <c r="AVT7" s="91"/>
      <c r="AVU7" s="91"/>
      <c r="AVV7" s="91"/>
      <c r="AVW7" s="91"/>
      <c r="AVX7" s="91"/>
      <c r="AVY7" s="91"/>
      <c r="AVZ7" s="91"/>
      <c r="AWA7" s="92"/>
      <c r="AWB7" s="92"/>
      <c r="AWC7" s="92"/>
      <c r="AWD7" s="92"/>
      <c r="AWE7" s="92"/>
      <c r="AWF7" s="92"/>
      <c r="AWG7" s="92"/>
      <c r="AWH7" s="91"/>
      <c r="AWI7" s="91"/>
      <c r="AWJ7" s="91"/>
      <c r="AWK7" s="91"/>
      <c r="AWL7" s="91"/>
      <c r="AWM7" s="91"/>
      <c r="AWN7" s="91"/>
      <c r="AWO7" s="92"/>
      <c r="AWP7" s="92"/>
      <c r="AWQ7" s="92"/>
      <c r="AWR7" s="92"/>
      <c r="AWS7" s="92"/>
      <c r="AWT7" s="92"/>
      <c r="AWU7" s="92"/>
      <c r="AWV7" s="91"/>
      <c r="AWW7" s="91"/>
      <c r="AWX7" s="91"/>
      <c r="AWY7" s="91"/>
      <c r="AWZ7" s="91"/>
      <c r="AXA7" s="91"/>
      <c r="AXB7" s="91"/>
      <c r="AXC7" s="92"/>
      <c r="AXD7" s="92"/>
      <c r="AXE7" s="92"/>
      <c r="AXF7" s="92"/>
      <c r="AXG7" s="92"/>
      <c r="AXH7" s="92"/>
      <c r="AXI7" s="92"/>
      <c r="AXJ7" s="91"/>
      <c r="AXK7" s="91"/>
      <c r="AXL7" s="91"/>
      <c r="AXM7" s="91"/>
      <c r="AXN7" s="91"/>
      <c r="AXO7" s="91"/>
      <c r="AXP7" s="91"/>
      <c r="AXQ7" s="92"/>
      <c r="AXR7" s="92"/>
      <c r="AXS7" s="92"/>
      <c r="AXT7" s="92"/>
      <c r="AXU7" s="92"/>
      <c r="AXV7" s="92"/>
      <c r="AXW7" s="92"/>
      <c r="AXX7" s="91"/>
      <c r="AXY7" s="91"/>
      <c r="AXZ7" s="91"/>
      <c r="AYA7" s="91"/>
      <c r="AYB7" s="91"/>
      <c r="AYC7" s="91"/>
      <c r="AYD7" s="91"/>
      <c r="AYE7" s="92"/>
      <c r="AYF7" s="92"/>
      <c r="AYG7" s="92"/>
      <c r="AYH7" s="92"/>
      <c r="AYI7" s="92"/>
      <c r="AYJ7" s="92"/>
      <c r="AYK7" s="92"/>
      <c r="AYL7" s="91"/>
      <c r="AYM7" s="91"/>
      <c r="AYN7" s="91"/>
      <c r="AYO7" s="91"/>
      <c r="AYP7" s="91"/>
      <c r="AYQ7" s="91"/>
      <c r="AYR7" s="91"/>
      <c r="AYS7" s="92"/>
      <c r="AYT7" s="92"/>
      <c r="AYU7" s="92"/>
      <c r="AYV7" s="92"/>
      <c r="AYW7" s="92"/>
      <c r="AYX7" s="92"/>
      <c r="AYY7" s="92"/>
      <c r="AYZ7" s="91"/>
      <c r="AZA7" s="91"/>
      <c r="AZB7" s="91"/>
      <c r="AZC7" s="91"/>
      <c r="AZD7" s="91"/>
      <c r="AZE7" s="91"/>
      <c r="AZF7" s="91"/>
      <c r="AZG7" s="92"/>
      <c r="AZH7" s="92"/>
      <c r="AZI7" s="92"/>
      <c r="AZJ7" s="92"/>
      <c r="AZK7" s="92"/>
      <c r="AZL7" s="92"/>
      <c r="AZM7" s="92"/>
      <c r="AZN7" s="91"/>
      <c r="AZO7" s="91"/>
      <c r="AZP7" s="91"/>
      <c r="AZQ7" s="91"/>
      <c r="AZR7" s="91"/>
      <c r="AZS7" s="91"/>
      <c r="AZT7" s="91"/>
      <c r="AZU7" s="92"/>
      <c r="AZV7" s="92"/>
      <c r="AZW7" s="92"/>
      <c r="AZX7" s="92"/>
      <c r="AZY7" s="92"/>
      <c r="AZZ7" s="92"/>
      <c r="BAA7" s="92"/>
      <c r="BAB7" s="91"/>
      <c r="BAC7" s="91"/>
      <c r="BAD7" s="91"/>
      <c r="BAE7" s="91"/>
      <c r="BAF7" s="91"/>
      <c r="BAG7" s="91"/>
      <c r="BAH7" s="91"/>
      <c r="BAI7" s="92"/>
      <c r="BAJ7" s="92"/>
      <c r="BAK7" s="92"/>
      <c r="BAL7" s="92"/>
      <c r="BAM7" s="92"/>
      <c r="BAN7" s="92"/>
      <c r="BAO7" s="92"/>
      <c r="BAP7" s="91"/>
      <c r="BAQ7" s="91"/>
      <c r="BAR7" s="91"/>
      <c r="BAS7" s="91"/>
      <c r="BAT7" s="91"/>
      <c r="BAU7" s="91"/>
      <c r="BAV7" s="91"/>
      <c r="BAW7" s="92"/>
      <c r="BAX7" s="92"/>
      <c r="BAY7" s="92"/>
      <c r="BAZ7" s="92"/>
      <c r="BBA7" s="92"/>
      <c r="BBB7" s="92"/>
      <c r="BBC7" s="92"/>
      <c r="BBD7" s="91"/>
      <c r="BBE7" s="91"/>
      <c r="BBF7" s="91"/>
      <c r="BBG7" s="91"/>
      <c r="BBH7" s="91"/>
      <c r="BBI7" s="91"/>
      <c r="BBJ7" s="91"/>
      <c r="BBK7" s="92"/>
      <c r="BBL7" s="92"/>
      <c r="BBM7" s="92"/>
      <c r="BBN7" s="92"/>
      <c r="BBO7" s="92"/>
      <c r="BBP7" s="92"/>
      <c r="BBQ7" s="92"/>
      <c r="BBR7" s="91"/>
      <c r="BBS7" s="91"/>
      <c r="BBT7" s="91"/>
      <c r="BBU7" s="91"/>
      <c r="BBV7" s="91"/>
      <c r="BBW7" s="91"/>
      <c r="BBX7" s="91"/>
      <c r="BBY7" s="92"/>
      <c r="BBZ7" s="92"/>
      <c r="BCA7" s="92"/>
      <c r="BCB7" s="92"/>
      <c r="BCC7" s="92"/>
      <c r="BCD7" s="92"/>
      <c r="BCE7" s="92"/>
      <c r="BCF7" s="91"/>
      <c r="BCG7" s="91"/>
      <c r="BCH7" s="91"/>
      <c r="BCI7" s="91"/>
      <c r="BCJ7" s="91"/>
      <c r="BCK7" s="91"/>
      <c r="BCL7" s="91"/>
      <c r="BCM7" s="92"/>
      <c r="BCN7" s="92"/>
      <c r="BCO7" s="92"/>
      <c r="BCP7" s="92"/>
      <c r="BCQ7" s="92"/>
      <c r="BCR7" s="92"/>
      <c r="BCS7" s="92"/>
      <c r="BCT7" s="91"/>
      <c r="BCU7" s="91"/>
      <c r="BCV7" s="91"/>
      <c r="BCW7" s="91"/>
      <c r="BCX7" s="91"/>
      <c r="BCY7" s="91"/>
      <c r="BCZ7" s="91"/>
      <c r="BDA7" s="92"/>
      <c r="BDB7" s="92"/>
      <c r="BDC7" s="92"/>
      <c r="BDD7" s="92"/>
      <c r="BDE7" s="92"/>
      <c r="BDF7" s="92"/>
      <c r="BDG7" s="92"/>
      <c r="BDH7" s="91"/>
      <c r="BDI7" s="91"/>
      <c r="BDJ7" s="91"/>
      <c r="BDK7" s="91"/>
      <c r="BDL7" s="91"/>
      <c r="BDM7" s="91"/>
      <c r="BDN7" s="91"/>
      <c r="BDO7" s="92"/>
      <c r="BDP7" s="92"/>
      <c r="BDQ7" s="92"/>
      <c r="BDR7" s="92"/>
      <c r="BDS7" s="92"/>
      <c r="BDT7" s="92"/>
      <c r="BDU7" s="92"/>
      <c r="BDV7" s="91"/>
      <c r="BDW7" s="91"/>
      <c r="BDX7" s="91"/>
      <c r="BDY7" s="91"/>
      <c r="BDZ7" s="91"/>
      <c r="BEA7" s="91"/>
      <c r="BEB7" s="91"/>
      <c r="BEC7" s="92"/>
      <c r="BED7" s="92"/>
      <c r="BEE7" s="92"/>
      <c r="BEF7" s="92"/>
      <c r="BEG7" s="92"/>
      <c r="BEH7" s="92"/>
      <c r="BEI7" s="92"/>
      <c r="BEJ7" s="91"/>
      <c r="BEK7" s="91"/>
      <c r="BEL7" s="91"/>
      <c r="BEM7" s="91"/>
      <c r="BEN7" s="91"/>
      <c r="BEO7" s="91"/>
      <c r="BEP7" s="91"/>
      <c r="BEQ7" s="92"/>
      <c r="BER7" s="92"/>
      <c r="BES7" s="92"/>
      <c r="BET7" s="92"/>
      <c r="BEU7" s="92"/>
      <c r="BEV7" s="92"/>
      <c r="BEW7" s="92"/>
      <c r="BEX7" s="91"/>
      <c r="BEY7" s="91"/>
      <c r="BEZ7" s="91"/>
      <c r="BFA7" s="91"/>
      <c r="BFB7" s="91"/>
      <c r="BFC7" s="91"/>
      <c r="BFD7" s="91"/>
      <c r="BFE7" s="92"/>
      <c r="BFF7" s="92"/>
      <c r="BFG7" s="92"/>
      <c r="BFH7" s="92"/>
      <c r="BFI7" s="92"/>
      <c r="BFJ7" s="92"/>
      <c r="BFK7" s="92"/>
      <c r="BFL7" s="91"/>
      <c r="BFM7" s="91"/>
      <c r="BFN7" s="91"/>
      <c r="BFO7" s="91"/>
      <c r="BFP7" s="91"/>
      <c r="BFQ7" s="91"/>
      <c r="BFR7" s="91"/>
      <c r="BFS7" s="92"/>
      <c r="BFT7" s="92"/>
      <c r="BFU7" s="92"/>
      <c r="BFV7" s="92"/>
      <c r="BFW7" s="92"/>
      <c r="BFX7" s="92"/>
      <c r="BFY7" s="92"/>
      <c r="BFZ7" s="91"/>
      <c r="BGA7" s="91"/>
      <c r="BGB7" s="91"/>
      <c r="BGC7" s="91"/>
      <c r="BGD7" s="91"/>
      <c r="BGE7" s="91"/>
      <c r="BGF7" s="91"/>
      <c r="BGG7" s="92"/>
      <c r="BGH7" s="92"/>
      <c r="BGI7" s="92"/>
      <c r="BGJ7" s="92"/>
      <c r="BGK7" s="92"/>
      <c r="BGL7" s="92"/>
      <c r="BGM7" s="92"/>
      <c r="BGN7" s="91"/>
      <c r="BGO7" s="91"/>
      <c r="BGP7" s="91"/>
      <c r="BGQ7" s="91"/>
      <c r="BGR7" s="91"/>
      <c r="BGS7" s="91"/>
      <c r="BGT7" s="91"/>
      <c r="BGU7" s="92"/>
      <c r="BGV7" s="92"/>
      <c r="BGW7" s="92"/>
      <c r="BGX7" s="92"/>
      <c r="BGY7" s="92"/>
      <c r="BGZ7" s="92"/>
      <c r="BHA7" s="92"/>
      <c r="BHB7" s="91"/>
      <c r="BHC7" s="91"/>
      <c r="BHD7" s="91"/>
      <c r="BHE7" s="91"/>
      <c r="BHF7" s="91"/>
      <c r="BHG7" s="91"/>
      <c r="BHH7" s="91"/>
      <c r="BHI7" s="92"/>
      <c r="BHJ7" s="92"/>
      <c r="BHK7" s="92"/>
      <c r="BHL7" s="92"/>
      <c r="BHM7" s="92"/>
      <c r="BHN7" s="92"/>
      <c r="BHO7" s="92"/>
      <c r="BHP7" s="91"/>
      <c r="BHQ7" s="91"/>
      <c r="BHR7" s="91"/>
      <c r="BHS7" s="91"/>
      <c r="BHT7" s="91"/>
      <c r="BHU7" s="91"/>
      <c r="BHV7" s="91"/>
      <c r="BHW7" s="92"/>
      <c r="BHX7" s="92"/>
      <c r="BHY7" s="92"/>
      <c r="BHZ7" s="92"/>
      <c r="BIA7" s="92"/>
      <c r="BIB7" s="92"/>
      <c r="BIC7" s="92"/>
      <c r="BID7" s="91"/>
      <c r="BIE7" s="91"/>
      <c r="BIF7" s="91"/>
      <c r="BIG7" s="91"/>
      <c r="BIH7" s="91"/>
      <c r="BII7" s="91"/>
      <c r="BIJ7" s="91"/>
      <c r="BIK7" s="92"/>
      <c r="BIL7" s="92"/>
      <c r="BIM7" s="92"/>
      <c r="BIN7" s="92"/>
      <c r="BIO7" s="92"/>
      <c r="BIP7" s="92"/>
      <c r="BIQ7" s="92"/>
      <c r="BIR7" s="91"/>
      <c r="BIS7" s="91"/>
      <c r="BIT7" s="91"/>
      <c r="BIU7" s="91"/>
      <c r="BIV7" s="91"/>
      <c r="BIW7" s="91"/>
      <c r="BIX7" s="91"/>
      <c r="BIY7" s="92"/>
      <c r="BIZ7" s="92"/>
      <c r="BJA7" s="92"/>
      <c r="BJB7" s="92"/>
      <c r="BJC7" s="92"/>
      <c r="BJD7" s="92"/>
      <c r="BJE7" s="92"/>
      <c r="BJF7" s="91"/>
      <c r="BJG7" s="91"/>
      <c r="BJH7" s="91"/>
      <c r="BJI7" s="91"/>
      <c r="BJJ7" s="91"/>
      <c r="BJK7" s="91"/>
      <c r="BJL7" s="91"/>
      <c r="BJM7" s="92"/>
      <c r="BJN7" s="92"/>
      <c r="BJO7" s="92"/>
      <c r="BJP7" s="92"/>
      <c r="BJQ7" s="92"/>
      <c r="BJR7" s="92"/>
      <c r="BJS7" s="92"/>
      <c r="BJT7" s="91"/>
      <c r="BJU7" s="91"/>
      <c r="BJV7" s="91"/>
      <c r="BJW7" s="91"/>
      <c r="BJX7" s="91"/>
      <c r="BJY7" s="91"/>
      <c r="BJZ7" s="91"/>
      <c r="BKA7" s="92"/>
      <c r="BKB7" s="92"/>
      <c r="BKC7" s="92"/>
      <c r="BKD7" s="92"/>
      <c r="BKE7" s="92"/>
      <c r="BKF7" s="92"/>
      <c r="BKG7" s="92"/>
      <c r="BKH7" s="91"/>
      <c r="BKI7" s="91"/>
      <c r="BKJ7" s="91"/>
      <c r="BKK7" s="91"/>
      <c r="BKL7" s="91"/>
      <c r="BKM7" s="91"/>
      <c r="BKN7" s="91"/>
      <c r="BKO7" s="92"/>
      <c r="BKP7" s="92"/>
      <c r="BKQ7" s="92"/>
      <c r="BKR7" s="92"/>
      <c r="BKS7" s="92"/>
      <c r="BKT7" s="92"/>
      <c r="BKU7" s="92"/>
      <c r="BKV7" s="91"/>
      <c r="BKW7" s="91"/>
      <c r="BKX7" s="91"/>
      <c r="BKY7" s="91"/>
      <c r="BKZ7" s="91"/>
      <c r="BLA7" s="91"/>
      <c r="BLB7" s="91"/>
      <c r="BLC7" s="92"/>
      <c r="BLD7" s="92"/>
      <c r="BLE7" s="92"/>
      <c r="BLF7" s="92"/>
      <c r="BLG7" s="92"/>
      <c r="BLH7" s="92"/>
      <c r="BLI7" s="92"/>
      <c r="BLJ7" s="91"/>
      <c r="BLK7" s="91"/>
      <c r="BLL7" s="91"/>
      <c r="BLM7" s="91"/>
      <c r="BLN7" s="91"/>
      <c r="BLO7" s="91"/>
      <c r="BLP7" s="91"/>
      <c r="BLQ7" s="92"/>
      <c r="BLR7" s="92"/>
      <c r="BLS7" s="92"/>
      <c r="BLT7" s="92"/>
      <c r="BLU7" s="92"/>
      <c r="BLV7" s="92"/>
      <c r="BLW7" s="92"/>
      <c r="BLX7" s="91"/>
      <c r="BLY7" s="91"/>
      <c r="BLZ7" s="91"/>
      <c r="BMA7" s="91"/>
      <c r="BMB7" s="91"/>
      <c r="BMC7" s="91"/>
      <c r="BMD7" s="91"/>
      <c r="BME7" s="92"/>
      <c r="BMF7" s="92"/>
      <c r="BMG7" s="92"/>
      <c r="BMH7" s="92"/>
      <c r="BMI7" s="92"/>
      <c r="BMJ7" s="92"/>
      <c r="BMK7" s="92"/>
      <c r="BML7" s="91"/>
      <c r="BMM7" s="91"/>
      <c r="BMN7" s="91"/>
      <c r="BMO7" s="91"/>
      <c r="BMP7" s="91"/>
      <c r="BMQ7" s="91"/>
      <c r="BMR7" s="91"/>
      <c r="BMS7" s="92"/>
      <c r="BMT7" s="92"/>
      <c r="BMU7" s="92"/>
      <c r="BMV7" s="92"/>
      <c r="BMW7" s="92"/>
      <c r="BMX7" s="92"/>
      <c r="BMY7" s="92"/>
      <c r="BMZ7" s="91"/>
      <c r="BNA7" s="91"/>
      <c r="BNB7" s="91"/>
      <c r="BNC7" s="91"/>
      <c r="BND7" s="91"/>
      <c r="BNE7" s="91"/>
      <c r="BNF7" s="91"/>
      <c r="BNG7" s="92"/>
      <c r="BNH7" s="92"/>
      <c r="BNI7" s="92"/>
      <c r="BNJ7" s="92"/>
      <c r="BNK7" s="92"/>
      <c r="BNL7" s="92"/>
      <c r="BNM7" s="92"/>
      <c r="BNN7" s="91"/>
      <c r="BNO7" s="91"/>
      <c r="BNP7" s="91"/>
      <c r="BNQ7" s="91"/>
      <c r="BNR7" s="91"/>
      <c r="BNS7" s="91"/>
      <c r="BNT7" s="91"/>
      <c r="BNU7" s="92"/>
      <c r="BNV7" s="92"/>
      <c r="BNW7" s="92"/>
      <c r="BNX7" s="92"/>
      <c r="BNY7" s="92"/>
      <c r="BNZ7" s="92"/>
      <c r="BOA7" s="92"/>
      <c r="BOB7" s="91"/>
      <c r="BOC7" s="91"/>
      <c r="BOD7" s="91"/>
      <c r="BOE7" s="91"/>
      <c r="BOF7" s="91"/>
      <c r="BOG7" s="91"/>
      <c r="BOH7" s="91"/>
      <c r="BOI7" s="92"/>
      <c r="BOJ7" s="92"/>
      <c r="BOK7" s="92"/>
      <c r="BOL7" s="92"/>
      <c r="BOM7" s="92"/>
      <c r="BON7" s="92"/>
      <c r="BOO7" s="92"/>
      <c r="BOP7" s="91"/>
      <c r="BOQ7" s="91"/>
      <c r="BOR7" s="91"/>
      <c r="BOS7" s="91"/>
      <c r="BOT7" s="91"/>
      <c r="BOU7" s="91"/>
      <c r="BOV7" s="91"/>
      <c r="BOW7" s="92"/>
      <c r="BOX7" s="92"/>
      <c r="BOY7" s="92"/>
      <c r="BOZ7" s="92"/>
      <c r="BPA7" s="92"/>
      <c r="BPB7" s="92"/>
      <c r="BPC7" s="92"/>
      <c r="BPD7" s="91"/>
      <c r="BPE7" s="91"/>
      <c r="BPF7" s="91"/>
      <c r="BPG7" s="91"/>
      <c r="BPH7" s="91"/>
      <c r="BPI7" s="91"/>
      <c r="BPJ7" s="91"/>
      <c r="BPK7" s="92"/>
      <c r="BPL7" s="92"/>
      <c r="BPM7" s="92"/>
      <c r="BPN7" s="92"/>
      <c r="BPO7" s="92"/>
      <c r="BPP7" s="92"/>
      <c r="BPQ7" s="92"/>
      <c r="BPR7" s="91"/>
      <c r="BPS7" s="91"/>
      <c r="BPT7" s="91"/>
      <c r="BPU7" s="91"/>
      <c r="BPV7" s="91"/>
      <c r="BPW7" s="91"/>
      <c r="BPX7" s="91"/>
      <c r="BPY7" s="92"/>
      <c r="BPZ7" s="92"/>
      <c r="BQA7" s="92"/>
      <c r="BQB7" s="92"/>
      <c r="BQC7" s="92"/>
      <c r="BQD7" s="92"/>
      <c r="BQE7" s="92"/>
      <c r="BQF7" s="91"/>
      <c r="BQG7" s="91"/>
      <c r="BQH7" s="91"/>
      <c r="BQI7" s="91"/>
      <c r="BQJ7" s="91"/>
      <c r="BQK7" s="91"/>
      <c r="BQL7" s="91"/>
      <c r="BQM7" s="92"/>
      <c r="BQN7" s="92"/>
      <c r="BQO7" s="92"/>
      <c r="BQP7" s="92"/>
      <c r="BQQ7" s="92"/>
      <c r="BQR7" s="92"/>
      <c r="BQS7" s="92"/>
      <c r="BQT7" s="91"/>
      <c r="BQU7" s="91"/>
      <c r="BQV7" s="91"/>
      <c r="BQW7" s="91"/>
      <c r="BQX7" s="91"/>
      <c r="BQY7" s="91"/>
      <c r="BQZ7" s="91"/>
      <c r="BRA7" s="92"/>
      <c r="BRB7" s="92"/>
      <c r="BRC7" s="92"/>
      <c r="BRD7" s="92"/>
      <c r="BRE7" s="92"/>
      <c r="BRF7" s="92"/>
      <c r="BRG7" s="92"/>
      <c r="BRH7" s="91"/>
      <c r="BRI7" s="91"/>
      <c r="BRJ7" s="91"/>
      <c r="BRK7" s="91"/>
      <c r="BRL7" s="91"/>
      <c r="BRM7" s="91"/>
      <c r="BRN7" s="91"/>
      <c r="BRO7" s="92"/>
      <c r="BRP7" s="92"/>
      <c r="BRQ7" s="92"/>
      <c r="BRR7" s="92"/>
      <c r="BRS7" s="92"/>
      <c r="BRT7" s="92"/>
      <c r="BRU7" s="92"/>
      <c r="BRV7" s="91"/>
      <c r="BRW7" s="91"/>
      <c r="BRX7" s="91"/>
      <c r="BRY7" s="91"/>
      <c r="BRZ7" s="91"/>
      <c r="BSA7" s="91"/>
      <c r="BSB7" s="91"/>
      <c r="BSC7" s="92"/>
      <c r="BSD7" s="92"/>
      <c r="BSE7" s="92"/>
      <c r="BSF7" s="92"/>
      <c r="BSG7" s="92"/>
      <c r="BSH7" s="92"/>
      <c r="BSI7" s="92"/>
      <c r="BSJ7" s="91"/>
      <c r="BSK7" s="91"/>
      <c r="BSL7" s="91"/>
      <c r="BSM7" s="91"/>
      <c r="BSN7" s="91"/>
      <c r="BSO7" s="91"/>
      <c r="BSP7" s="91"/>
      <c r="BSQ7" s="92"/>
      <c r="BSR7" s="92"/>
      <c r="BSS7" s="92"/>
      <c r="BST7" s="92"/>
      <c r="BSU7" s="92"/>
      <c r="BSV7" s="92"/>
      <c r="BSW7" s="92"/>
      <c r="BSX7" s="91"/>
      <c r="BSY7" s="91"/>
      <c r="BSZ7" s="91"/>
      <c r="BTA7" s="91"/>
      <c r="BTB7" s="91"/>
      <c r="BTC7" s="91"/>
      <c r="BTD7" s="91"/>
      <c r="BTE7" s="92"/>
      <c r="BTF7" s="92"/>
      <c r="BTG7" s="92"/>
      <c r="BTH7" s="92"/>
      <c r="BTI7" s="92"/>
      <c r="BTJ7" s="92"/>
      <c r="BTK7" s="92"/>
      <c r="BTL7" s="91"/>
      <c r="BTM7" s="91"/>
      <c r="BTN7" s="91"/>
      <c r="BTO7" s="91"/>
      <c r="BTP7" s="91"/>
      <c r="BTQ7" s="91"/>
      <c r="BTR7" s="91"/>
      <c r="BTS7" s="92"/>
      <c r="BTT7" s="92"/>
      <c r="BTU7" s="92"/>
      <c r="BTV7" s="92"/>
      <c r="BTW7" s="92"/>
      <c r="BTX7" s="92"/>
      <c r="BTY7" s="92"/>
      <c r="BTZ7" s="91"/>
      <c r="BUA7" s="91"/>
      <c r="BUB7" s="91"/>
      <c r="BUC7" s="91"/>
      <c r="BUD7" s="91"/>
      <c r="BUE7" s="91"/>
      <c r="BUF7" s="91"/>
      <c r="BUG7" s="92"/>
      <c r="BUH7" s="92"/>
      <c r="BUI7" s="92"/>
      <c r="BUJ7" s="92"/>
      <c r="BUK7" s="92"/>
      <c r="BUL7" s="92"/>
      <c r="BUM7" s="92"/>
      <c r="BUN7" s="91"/>
      <c r="BUO7" s="91"/>
      <c r="BUP7" s="91"/>
      <c r="BUQ7" s="91"/>
      <c r="BUR7" s="91"/>
      <c r="BUS7" s="91"/>
      <c r="BUT7" s="91"/>
      <c r="BUU7" s="92"/>
      <c r="BUV7" s="92"/>
      <c r="BUW7" s="92"/>
      <c r="BUX7" s="92"/>
      <c r="BUY7" s="92"/>
      <c r="BUZ7" s="92"/>
      <c r="BVA7" s="92"/>
      <c r="BVB7" s="91"/>
      <c r="BVC7" s="91"/>
      <c r="BVD7" s="91"/>
      <c r="BVE7" s="91"/>
      <c r="BVF7" s="91"/>
      <c r="BVG7" s="91"/>
      <c r="BVH7" s="91"/>
      <c r="BVI7" s="92"/>
      <c r="BVJ7" s="92"/>
      <c r="BVK7" s="92"/>
      <c r="BVL7" s="92"/>
      <c r="BVM7" s="92"/>
      <c r="BVN7" s="92"/>
      <c r="BVO7" s="92"/>
      <c r="BVP7" s="91"/>
      <c r="BVQ7" s="91"/>
      <c r="BVR7" s="91"/>
      <c r="BVS7" s="91"/>
      <c r="BVT7" s="91"/>
      <c r="BVU7" s="91"/>
      <c r="BVV7" s="91"/>
      <c r="BVW7" s="92"/>
      <c r="BVX7" s="92"/>
      <c r="BVY7" s="92"/>
      <c r="BVZ7" s="92"/>
      <c r="BWA7" s="92"/>
      <c r="BWB7" s="92"/>
      <c r="BWC7" s="92"/>
      <c r="BWD7" s="91"/>
      <c r="BWE7" s="91"/>
      <c r="BWF7" s="91"/>
      <c r="BWG7" s="91"/>
      <c r="BWH7" s="91"/>
      <c r="BWI7" s="91"/>
      <c r="BWJ7" s="91"/>
      <c r="BWK7" s="92"/>
      <c r="BWL7" s="92"/>
      <c r="BWM7" s="92"/>
      <c r="BWN7" s="92"/>
      <c r="BWO7" s="92"/>
      <c r="BWP7" s="92"/>
      <c r="BWQ7" s="92"/>
      <c r="BWR7" s="91"/>
      <c r="BWS7" s="91"/>
      <c r="BWT7" s="91"/>
      <c r="BWU7" s="91"/>
      <c r="BWV7" s="91"/>
      <c r="BWW7" s="91"/>
      <c r="BWX7" s="91"/>
      <c r="BWY7" s="92"/>
      <c r="BWZ7" s="92"/>
      <c r="BXA7" s="92"/>
      <c r="BXB7" s="92"/>
      <c r="BXC7" s="92"/>
      <c r="BXD7" s="92"/>
      <c r="BXE7" s="92"/>
      <c r="BXF7" s="91"/>
      <c r="BXG7" s="91"/>
      <c r="BXH7" s="91"/>
      <c r="BXI7" s="91"/>
      <c r="BXJ7" s="91"/>
      <c r="BXK7" s="91"/>
      <c r="BXL7" s="91"/>
      <c r="BXM7" s="92"/>
      <c r="BXN7" s="92"/>
      <c r="BXO7" s="92"/>
      <c r="BXP7" s="92"/>
      <c r="BXQ7" s="92"/>
      <c r="BXR7" s="92"/>
      <c r="BXS7" s="92"/>
      <c r="BXT7" s="91"/>
      <c r="BXU7" s="91"/>
      <c r="BXV7" s="91"/>
      <c r="BXW7" s="91"/>
      <c r="BXX7" s="91"/>
      <c r="BXY7" s="91"/>
      <c r="BXZ7" s="91"/>
      <c r="BYA7" s="92"/>
      <c r="BYB7" s="92"/>
      <c r="BYC7" s="92"/>
      <c r="BYD7" s="92"/>
      <c r="BYE7" s="92"/>
      <c r="BYF7" s="92"/>
      <c r="BYG7" s="92"/>
      <c r="BYH7" s="91"/>
      <c r="BYI7" s="91"/>
      <c r="BYJ7" s="91"/>
      <c r="BYK7" s="91"/>
      <c r="BYL7" s="91"/>
      <c r="BYM7" s="91"/>
      <c r="BYN7" s="91"/>
      <c r="BYO7" s="92"/>
      <c r="BYP7" s="92"/>
      <c r="BYQ7" s="92"/>
      <c r="BYR7" s="92"/>
      <c r="BYS7" s="92"/>
      <c r="BYT7" s="92"/>
      <c r="BYU7" s="92"/>
      <c r="BYV7" s="91"/>
      <c r="BYW7" s="91"/>
      <c r="BYX7" s="91"/>
      <c r="BYY7" s="91"/>
      <c r="BYZ7" s="91"/>
      <c r="BZA7" s="91"/>
      <c r="BZB7" s="91"/>
      <c r="BZC7" s="92"/>
      <c r="BZD7" s="92"/>
      <c r="BZE7" s="92"/>
      <c r="BZF7" s="92"/>
      <c r="BZG7" s="92"/>
      <c r="BZH7" s="92"/>
      <c r="BZI7" s="92"/>
      <c r="BZJ7" s="91"/>
      <c r="BZK7" s="91"/>
      <c r="BZL7" s="91"/>
      <c r="BZM7" s="91"/>
      <c r="BZN7" s="91"/>
      <c r="BZO7" s="91"/>
      <c r="BZP7" s="91"/>
      <c r="BZQ7" s="92"/>
      <c r="BZR7" s="92"/>
      <c r="BZS7" s="92"/>
      <c r="BZT7" s="92"/>
      <c r="BZU7" s="92"/>
      <c r="BZV7" s="92"/>
      <c r="BZW7" s="92"/>
      <c r="BZX7" s="91"/>
      <c r="BZY7" s="91"/>
      <c r="BZZ7" s="91"/>
      <c r="CAA7" s="91"/>
      <c r="CAB7" s="91"/>
      <c r="CAC7" s="91"/>
      <c r="CAD7" s="91"/>
      <c r="CAE7" s="92"/>
      <c r="CAF7" s="92"/>
      <c r="CAG7" s="92"/>
      <c r="CAH7" s="92"/>
      <c r="CAI7" s="92"/>
      <c r="CAJ7" s="92"/>
      <c r="CAK7" s="92"/>
      <c r="CAL7" s="91"/>
      <c r="CAM7" s="91"/>
      <c r="CAN7" s="91"/>
      <c r="CAO7" s="91"/>
      <c r="CAP7" s="91"/>
      <c r="CAQ7" s="91"/>
      <c r="CAR7" s="91"/>
      <c r="CAS7" s="92"/>
      <c r="CAT7" s="92"/>
      <c r="CAU7" s="92"/>
      <c r="CAV7" s="92"/>
      <c r="CAW7" s="92"/>
      <c r="CAX7" s="92"/>
      <c r="CAY7" s="92"/>
      <c r="CAZ7" s="91"/>
      <c r="CBA7" s="91"/>
      <c r="CBB7" s="91"/>
      <c r="CBC7" s="91"/>
      <c r="CBD7" s="91"/>
      <c r="CBE7" s="91"/>
      <c r="CBF7" s="91"/>
      <c r="CBG7" s="92"/>
      <c r="CBH7" s="92"/>
      <c r="CBI7" s="92"/>
      <c r="CBJ7" s="92"/>
      <c r="CBK7" s="92"/>
      <c r="CBL7" s="92"/>
      <c r="CBM7" s="92"/>
      <c r="CBN7" s="91"/>
      <c r="CBO7" s="91"/>
      <c r="CBP7" s="91"/>
      <c r="CBQ7" s="91"/>
      <c r="CBR7" s="91"/>
      <c r="CBS7" s="91"/>
      <c r="CBT7" s="91"/>
      <c r="CBU7" s="92"/>
      <c r="CBV7" s="92"/>
      <c r="CBW7" s="92"/>
      <c r="CBX7" s="92"/>
      <c r="CBY7" s="92"/>
      <c r="CBZ7" s="92"/>
      <c r="CCA7" s="92"/>
      <c r="CCB7" s="91"/>
      <c r="CCC7" s="91"/>
      <c r="CCD7" s="91"/>
      <c r="CCE7" s="91"/>
      <c r="CCF7" s="91"/>
      <c r="CCG7" s="91"/>
      <c r="CCH7" s="91"/>
      <c r="CCI7" s="92"/>
      <c r="CCJ7" s="92"/>
      <c r="CCK7" s="92"/>
      <c r="CCL7" s="92"/>
      <c r="CCM7" s="92"/>
      <c r="CCN7" s="92"/>
      <c r="CCO7" s="92"/>
      <c r="CCP7" s="91"/>
      <c r="CCQ7" s="91"/>
      <c r="CCR7" s="91"/>
      <c r="CCS7" s="91"/>
      <c r="CCT7" s="91"/>
      <c r="CCU7" s="91"/>
      <c r="CCV7" s="91"/>
    </row>
    <row r="8" spans="1:2129 15008:15068 15384:15392" ht="14.1" customHeight="1" x14ac:dyDescent="0.2">
      <c r="G8" s="90" t="s">
        <v>88</v>
      </c>
      <c r="H8" s="89"/>
      <c r="I8" s="89"/>
      <c r="J8" s="88"/>
      <c r="K8" s="89"/>
      <c r="L8" s="89"/>
      <c r="M8" s="88"/>
      <c r="N8" s="173"/>
      <c r="O8" s="173"/>
      <c r="P8" s="187"/>
      <c r="Q8" s="180"/>
      <c r="R8" s="89"/>
      <c r="S8" s="89"/>
      <c r="T8" s="88"/>
      <c r="U8" s="200"/>
      <c r="V8" s="200"/>
      <c r="W8" s="200"/>
      <c r="X8" s="87"/>
      <c r="Y8" s="87"/>
      <c r="Z8" s="87"/>
      <c r="AA8" s="87"/>
      <c r="AB8" s="87"/>
      <c r="AC8" s="189">
        <v>18</v>
      </c>
      <c r="AD8" s="189">
        <v>19</v>
      </c>
      <c r="AE8" s="189">
        <v>20</v>
      </c>
      <c r="AF8" s="189">
        <v>21</v>
      </c>
      <c r="AG8" s="189">
        <v>22</v>
      </c>
      <c r="AH8" s="189">
        <v>23</v>
      </c>
      <c r="AI8" s="189">
        <v>24</v>
      </c>
      <c r="AJ8" s="189">
        <v>25</v>
      </c>
      <c r="AK8" s="189">
        <v>26</v>
      </c>
      <c r="AL8" s="189">
        <v>27</v>
      </c>
      <c r="AM8" s="189">
        <v>28</v>
      </c>
      <c r="AN8" s="189">
        <v>29</v>
      </c>
      <c r="AO8" s="189">
        <v>30</v>
      </c>
      <c r="AP8" s="189">
        <v>31</v>
      </c>
      <c r="AQ8" s="189">
        <v>1</v>
      </c>
      <c r="AR8" s="189">
        <v>2</v>
      </c>
      <c r="AS8" s="189">
        <v>3</v>
      </c>
      <c r="AT8" s="189">
        <v>4</v>
      </c>
      <c r="AU8" s="189">
        <v>5</v>
      </c>
      <c r="AV8" s="189">
        <v>6</v>
      </c>
      <c r="AW8" s="189">
        <v>7</v>
      </c>
      <c r="AX8" s="189">
        <v>8</v>
      </c>
      <c r="AY8" s="189">
        <v>9</v>
      </c>
      <c r="AZ8" s="189">
        <v>10</v>
      </c>
      <c r="BA8" s="189">
        <v>11</v>
      </c>
      <c r="BB8" s="189">
        <v>12</v>
      </c>
      <c r="BC8" s="189">
        <v>13</v>
      </c>
      <c r="BD8" s="189">
        <v>14</v>
      </c>
      <c r="BE8" s="189">
        <v>15</v>
      </c>
      <c r="BF8" s="189">
        <v>16</v>
      </c>
      <c r="BG8" s="189">
        <v>17</v>
      </c>
      <c r="BH8" s="189">
        <v>18</v>
      </c>
      <c r="BI8" s="189">
        <v>19</v>
      </c>
      <c r="BJ8" s="189">
        <v>20</v>
      </c>
      <c r="BK8" s="189">
        <v>21</v>
      </c>
      <c r="BL8" s="189">
        <v>22</v>
      </c>
      <c r="BM8" s="189">
        <v>23</v>
      </c>
      <c r="BN8" s="189">
        <v>24</v>
      </c>
      <c r="BO8" s="189">
        <v>25</v>
      </c>
      <c r="BP8" s="189">
        <v>26</v>
      </c>
      <c r="BQ8" s="189">
        <v>27</v>
      </c>
      <c r="BR8" s="189">
        <v>28</v>
      </c>
      <c r="BS8" s="189">
        <v>29</v>
      </c>
      <c r="BT8" s="189">
        <v>1</v>
      </c>
      <c r="BU8" s="189">
        <v>2</v>
      </c>
      <c r="BV8" s="189">
        <v>3</v>
      </c>
      <c r="BW8" s="189">
        <v>4</v>
      </c>
      <c r="BX8" s="189">
        <v>5</v>
      </c>
      <c r="BY8" s="189">
        <v>6</v>
      </c>
      <c r="BZ8" s="189">
        <v>7</v>
      </c>
      <c r="CA8" s="189">
        <v>8</v>
      </c>
      <c r="CB8" s="189">
        <v>9</v>
      </c>
      <c r="CC8" s="189">
        <v>10</v>
      </c>
      <c r="CD8" s="189">
        <v>11</v>
      </c>
      <c r="CE8" s="189">
        <v>12</v>
      </c>
      <c r="CF8" s="189">
        <v>13</v>
      </c>
      <c r="CG8" s="189"/>
      <c r="CH8" s="189"/>
      <c r="CI8" s="189"/>
      <c r="CJ8" s="189"/>
      <c r="CK8" s="189"/>
      <c r="CL8" s="189"/>
      <c r="CM8" s="189"/>
      <c r="CN8" s="189"/>
      <c r="CO8" s="189"/>
      <c r="CP8" s="189"/>
      <c r="CQ8" s="189"/>
      <c r="CR8" s="189"/>
      <c r="CS8" s="189"/>
      <c r="CT8" s="189"/>
      <c r="CU8" s="189"/>
      <c r="CV8" s="189"/>
      <c r="CW8" s="189"/>
      <c r="CX8" s="189"/>
      <c r="CY8" s="189"/>
      <c r="CZ8" s="189"/>
      <c r="DA8" s="189"/>
      <c r="DB8" s="189"/>
      <c r="DC8" s="189"/>
      <c r="DD8" s="189"/>
      <c r="DE8" s="189"/>
      <c r="DF8" s="189"/>
      <c r="DG8" s="189"/>
      <c r="DH8" s="189"/>
      <c r="DI8" s="189"/>
      <c r="DJ8" s="189"/>
      <c r="DK8" s="189"/>
      <c r="DL8" s="189"/>
      <c r="DM8" s="189"/>
      <c r="DN8" s="189"/>
      <c r="DO8" s="189"/>
      <c r="DP8" s="189"/>
      <c r="DQ8" s="189"/>
      <c r="DR8" s="189"/>
      <c r="DS8" s="189"/>
      <c r="DT8" s="189"/>
      <c r="DU8" s="189"/>
      <c r="DV8" s="189"/>
      <c r="DW8" s="189"/>
      <c r="DX8" s="189"/>
      <c r="DY8" s="189"/>
      <c r="DZ8" s="189"/>
      <c r="EA8" s="189"/>
      <c r="EB8" s="189"/>
      <c r="EC8" s="189"/>
      <c r="ED8" s="189"/>
      <c r="EE8" s="189"/>
      <c r="EF8" s="189"/>
      <c r="EG8" s="189"/>
      <c r="EH8" s="189"/>
      <c r="EI8" s="189"/>
      <c r="EJ8" s="189"/>
      <c r="EK8" s="189"/>
      <c r="EL8" s="189"/>
      <c r="EM8" s="189"/>
      <c r="EN8" s="189"/>
      <c r="EO8" s="189"/>
      <c r="EP8" s="189"/>
      <c r="EQ8" s="189"/>
      <c r="ER8" s="189"/>
      <c r="ES8" s="189"/>
      <c r="ET8" s="189"/>
      <c r="EU8" s="189"/>
      <c r="EV8" s="189"/>
      <c r="EW8" s="189"/>
      <c r="EX8" s="189"/>
      <c r="EY8" s="189"/>
      <c r="EZ8" s="189"/>
      <c r="FA8" s="189"/>
      <c r="FB8" s="189"/>
      <c r="FC8" s="189"/>
      <c r="FD8" s="189"/>
      <c r="FE8" s="189"/>
      <c r="FF8" s="189"/>
      <c r="FG8" s="189"/>
      <c r="FH8" s="189"/>
      <c r="FI8" s="189"/>
      <c r="FJ8" s="189"/>
      <c r="FK8" s="189"/>
      <c r="FL8" s="189"/>
      <c r="FM8" s="189"/>
      <c r="FN8" s="189"/>
      <c r="FO8" s="189"/>
      <c r="FP8" s="189"/>
      <c r="FQ8" s="189"/>
      <c r="FR8" s="189"/>
      <c r="FS8" s="189"/>
      <c r="FT8" s="189"/>
      <c r="FU8" s="189"/>
      <c r="FV8" s="189"/>
      <c r="FW8" s="189"/>
      <c r="FX8" s="189"/>
      <c r="FY8" s="189"/>
      <c r="FZ8" s="189"/>
      <c r="GA8" s="189"/>
      <c r="GB8" s="189"/>
      <c r="GC8" s="189"/>
      <c r="GD8" s="189"/>
      <c r="GE8" s="189"/>
      <c r="GF8" s="189"/>
      <c r="GG8" s="189"/>
      <c r="GH8" s="189"/>
      <c r="GI8" s="189"/>
      <c r="GJ8" s="189"/>
      <c r="GK8" s="189"/>
      <c r="GL8" s="189"/>
      <c r="GM8" s="189"/>
      <c r="GN8" s="189"/>
      <c r="GO8" s="189"/>
      <c r="GP8" s="189"/>
      <c r="GQ8" s="189"/>
      <c r="GR8" s="189"/>
      <c r="GS8" s="189"/>
      <c r="GT8" s="189"/>
      <c r="GU8" s="189"/>
      <c r="GV8" s="189"/>
      <c r="GW8" s="189"/>
      <c r="GX8" s="189"/>
      <c r="GY8" s="189"/>
      <c r="GZ8" s="189"/>
      <c r="HA8" s="189"/>
      <c r="HB8" s="189"/>
      <c r="HC8" s="189"/>
      <c r="HD8" s="189"/>
      <c r="HE8" s="189"/>
      <c r="HF8" s="189"/>
      <c r="HG8" s="189"/>
      <c r="HH8" s="189"/>
      <c r="HI8" s="189"/>
      <c r="HJ8" s="189"/>
      <c r="HK8" s="189"/>
      <c r="HL8" s="189"/>
      <c r="HM8" s="189"/>
      <c r="HN8" s="189"/>
      <c r="HO8" s="189"/>
      <c r="HP8" s="189"/>
      <c r="HQ8" s="189"/>
      <c r="HR8" s="189"/>
      <c r="HS8" s="189"/>
      <c r="HT8" s="189"/>
      <c r="HU8" s="189"/>
      <c r="HV8" s="189"/>
      <c r="HW8" s="189"/>
      <c r="HX8" s="189"/>
      <c r="HY8" s="189"/>
      <c r="HZ8" s="189"/>
      <c r="IA8" s="189"/>
      <c r="IB8" s="189"/>
      <c r="IC8" s="189"/>
      <c r="ID8" s="189"/>
      <c r="IE8" s="189"/>
      <c r="IF8" s="189"/>
      <c r="IG8" s="189"/>
      <c r="IH8" s="189"/>
      <c r="II8" s="189"/>
      <c r="IJ8" s="189"/>
      <c r="IK8" s="189"/>
      <c r="IL8" s="189"/>
      <c r="IM8" s="189"/>
      <c r="IN8" s="189"/>
      <c r="IO8" s="189"/>
      <c r="IP8" s="189"/>
      <c r="IQ8" s="189"/>
      <c r="IR8" s="189"/>
      <c r="IS8" s="189"/>
      <c r="IT8" s="189"/>
      <c r="IU8" s="189"/>
      <c r="IV8" s="189"/>
      <c r="IW8" s="189"/>
      <c r="IX8" s="189"/>
      <c r="IY8" s="189"/>
      <c r="IZ8" s="189"/>
      <c r="JA8" s="189"/>
      <c r="JB8" s="189"/>
      <c r="JC8" s="189"/>
      <c r="JD8" s="189"/>
      <c r="JE8" s="189"/>
      <c r="JF8" s="189"/>
      <c r="JG8" s="189"/>
      <c r="JH8" s="189"/>
      <c r="JI8" s="189"/>
      <c r="JJ8" s="189"/>
      <c r="JK8" s="189"/>
      <c r="JL8" s="189"/>
      <c r="JM8" s="189"/>
      <c r="JN8" s="189"/>
      <c r="JO8" s="189"/>
      <c r="JP8" s="189"/>
      <c r="JQ8" s="189"/>
      <c r="JR8" s="189"/>
      <c r="JS8" s="189"/>
      <c r="JT8" s="189"/>
      <c r="JU8" s="189"/>
      <c r="JV8" s="189"/>
      <c r="JW8" s="189"/>
      <c r="JX8" s="189"/>
      <c r="JY8" s="189"/>
      <c r="JZ8" s="189"/>
      <c r="KA8" s="189"/>
      <c r="KB8" s="189"/>
      <c r="KC8" s="189"/>
      <c r="KD8" s="189"/>
      <c r="KE8" s="189"/>
      <c r="KF8" s="189"/>
      <c r="KG8" s="189"/>
      <c r="KH8" s="189"/>
      <c r="KI8" s="189"/>
      <c r="KJ8" s="189"/>
      <c r="KK8" s="189"/>
      <c r="KL8" s="189"/>
      <c r="KM8" s="189"/>
      <c r="KN8" s="189"/>
      <c r="KO8" s="189"/>
      <c r="KP8" s="189"/>
      <c r="KQ8" s="189"/>
      <c r="KR8" s="189"/>
      <c r="KS8" s="189"/>
      <c r="KT8" s="189"/>
      <c r="KU8" s="189"/>
      <c r="KV8" s="189"/>
      <c r="KW8" s="189"/>
      <c r="KX8" s="189"/>
      <c r="KY8" s="189"/>
      <c r="KZ8" s="189"/>
      <c r="LA8" s="189"/>
      <c r="LB8" s="189"/>
      <c r="LC8" s="189"/>
      <c r="LD8" s="189"/>
      <c r="LE8" s="189"/>
      <c r="LF8" s="189"/>
      <c r="LG8" s="189"/>
      <c r="LH8" s="189"/>
      <c r="LI8" s="189"/>
      <c r="LJ8" s="189"/>
      <c r="LK8" s="189"/>
      <c r="LL8" s="189"/>
      <c r="LM8" s="189"/>
      <c r="LN8" s="189"/>
      <c r="LO8" s="189"/>
      <c r="LP8" s="189"/>
      <c r="LQ8" s="189"/>
      <c r="LR8" s="189"/>
      <c r="LS8" s="189"/>
      <c r="LT8" s="189"/>
      <c r="LU8" s="189"/>
      <c r="LV8" s="189"/>
      <c r="LW8" s="189"/>
      <c r="LX8" s="189"/>
      <c r="LY8" s="189"/>
      <c r="LZ8" s="189"/>
      <c r="MA8" s="189"/>
      <c r="MB8" s="189"/>
      <c r="MC8" s="189"/>
      <c r="MD8" s="189"/>
      <c r="ME8" s="189"/>
      <c r="MF8" s="189"/>
      <c r="MG8" s="189"/>
      <c r="MH8" s="189"/>
      <c r="MI8" s="189"/>
      <c r="MJ8" s="189"/>
      <c r="MK8" s="189"/>
      <c r="ML8" s="189"/>
      <c r="MM8" s="189"/>
      <c r="MN8" s="189"/>
      <c r="MO8" s="189"/>
      <c r="MP8" s="189"/>
      <c r="MQ8" s="189"/>
      <c r="MR8" s="189"/>
      <c r="MS8" s="189"/>
      <c r="MT8" s="189"/>
      <c r="MU8" s="189"/>
      <c r="MV8" s="189"/>
      <c r="MW8" s="189"/>
      <c r="MX8" s="189"/>
      <c r="MY8" s="189"/>
      <c r="MZ8" s="189"/>
      <c r="NA8" s="189"/>
      <c r="NB8" s="189"/>
      <c r="NC8" s="189"/>
      <c r="ND8" s="189"/>
      <c r="NE8" s="189"/>
      <c r="NF8" s="189"/>
      <c r="NG8" s="189"/>
      <c r="NH8" s="189"/>
      <c r="NI8" s="189"/>
      <c r="NJ8" s="189"/>
      <c r="NK8" s="189"/>
      <c r="NL8" s="189"/>
      <c r="NM8" s="189"/>
      <c r="NN8" s="189"/>
      <c r="NO8" s="189"/>
      <c r="NP8" s="189"/>
      <c r="NQ8" s="189"/>
      <c r="NR8" s="189"/>
      <c r="NS8" s="189"/>
      <c r="NT8" s="189"/>
      <c r="NU8" s="189"/>
      <c r="NV8" s="189"/>
      <c r="NW8" s="189"/>
      <c r="NX8" s="189"/>
      <c r="NY8" s="189"/>
      <c r="NZ8" s="189"/>
      <c r="OA8" s="189"/>
      <c r="OB8" s="189"/>
      <c r="OC8" s="189"/>
      <c r="OD8" s="189"/>
      <c r="OE8" s="189"/>
      <c r="OF8" s="189"/>
      <c r="OG8" s="189"/>
      <c r="OH8" s="189"/>
      <c r="OI8" s="189"/>
      <c r="OJ8" s="189"/>
      <c r="OK8" s="189"/>
      <c r="OL8" s="189"/>
      <c r="OM8" s="189"/>
      <c r="ON8" s="189"/>
      <c r="OO8" s="189"/>
      <c r="OP8" s="189"/>
      <c r="OQ8" s="189"/>
      <c r="OR8" s="189"/>
      <c r="OS8" s="189"/>
      <c r="OT8" s="189"/>
      <c r="OU8" s="189"/>
      <c r="OV8" s="189"/>
      <c r="OW8" s="189"/>
      <c r="OX8" s="189"/>
      <c r="OY8" s="189"/>
      <c r="OZ8" s="189"/>
      <c r="PA8" s="189"/>
      <c r="PB8" s="189"/>
      <c r="PC8" s="189"/>
      <c r="PD8" s="189"/>
      <c r="PE8" s="189"/>
      <c r="PF8" s="189"/>
      <c r="PG8" s="189"/>
      <c r="PH8" s="189"/>
      <c r="PI8" s="189"/>
      <c r="PJ8" s="189"/>
      <c r="PK8" s="189"/>
      <c r="PL8" s="189"/>
      <c r="PM8" s="189"/>
      <c r="PN8" s="189"/>
      <c r="PO8" s="189"/>
      <c r="PP8" s="189"/>
      <c r="PQ8" s="189"/>
      <c r="PR8" s="189"/>
      <c r="PS8" s="189"/>
      <c r="PT8" s="189"/>
      <c r="PU8" s="189"/>
      <c r="PV8" s="189"/>
      <c r="PW8" s="189"/>
      <c r="PX8" s="189"/>
      <c r="PY8" s="189"/>
      <c r="PZ8" s="189"/>
      <c r="QA8" s="189"/>
      <c r="QB8" s="189"/>
      <c r="QC8" s="189"/>
      <c r="QD8" s="189"/>
      <c r="QE8" s="189"/>
      <c r="QF8" s="189"/>
      <c r="QG8" s="189"/>
      <c r="QH8" s="189"/>
      <c r="QI8" s="189"/>
      <c r="QJ8" s="189"/>
      <c r="QK8" s="189"/>
      <c r="QL8" s="189"/>
      <c r="QM8" s="189"/>
      <c r="QN8" s="189"/>
      <c r="QO8" s="189"/>
      <c r="QP8" s="189"/>
      <c r="QQ8" s="189"/>
      <c r="QR8" s="189"/>
      <c r="QS8" s="189"/>
      <c r="QT8" s="189"/>
      <c r="QU8" s="189"/>
      <c r="QV8" s="189"/>
      <c r="QW8" s="189"/>
      <c r="QX8" s="189"/>
      <c r="QY8" s="189"/>
      <c r="QZ8" s="189"/>
      <c r="RA8" s="189"/>
      <c r="RB8" s="189"/>
      <c r="RC8" s="189"/>
      <c r="RD8" s="189"/>
      <c r="RE8" s="189"/>
      <c r="RF8" s="189"/>
      <c r="RG8" s="189"/>
      <c r="RH8" s="189"/>
      <c r="RI8" s="189"/>
      <c r="RJ8" s="189"/>
      <c r="RK8" s="189"/>
      <c r="RL8" s="189"/>
      <c r="RM8" s="189"/>
      <c r="RN8" s="189"/>
      <c r="RO8" s="189"/>
      <c r="RP8" s="189"/>
      <c r="RQ8" s="189"/>
      <c r="RR8" s="189"/>
      <c r="RS8" s="189"/>
      <c r="RT8" s="189"/>
      <c r="RU8" s="189"/>
      <c r="RV8" s="189"/>
      <c r="RW8" s="189"/>
      <c r="RX8" s="189"/>
      <c r="RY8" s="189"/>
      <c r="RZ8" s="189"/>
      <c r="SA8" s="189"/>
      <c r="SB8" s="189"/>
      <c r="SC8" s="189"/>
      <c r="SD8" s="189"/>
      <c r="SE8" s="189"/>
      <c r="SF8" s="189"/>
      <c r="SG8" s="189"/>
      <c r="SH8" s="189"/>
      <c r="SI8" s="189"/>
      <c r="SJ8" s="189"/>
      <c r="SK8" s="189"/>
      <c r="SL8" s="189"/>
      <c r="SM8" s="189"/>
      <c r="SN8" s="189"/>
      <c r="SO8" s="189"/>
      <c r="SP8" s="189"/>
      <c r="SQ8" s="189"/>
      <c r="SR8" s="189"/>
      <c r="SS8" s="189"/>
      <c r="ST8" s="189"/>
      <c r="SU8" s="189"/>
      <c r="SV8" s="189"/>
      <c r="SW8" s="189"/>
      <c r="SX8" s="189"/>
      <c r="SY8" s="189"/>
      <c r="SZ8" s="189"/>
      <c r="TA8" s="189"/>
      <c r="TB8" s="189"/>
      <c r="TC8" s="189"/>
      <c r="TD8" s="189"/>
      <c r="TE8" s="189"/>
      <c r="TF8" s="189"/>
      <c r="TG8" s="189"/>
      <c r="TH8" s="189"/>
      <c r="TI8" s="189"/>
      <c r="TJ8" s="189"/>
      <c r="TK8" s="189"/>
      <c r="TL8" s="189"/>
      <c r="TM8" s="189"/>
      <c r="TN8" s="189"/>
      <c r="TO8" s="189"/>
      <c r="TP8" s="189"/>
      <c r="TQ8" s="189"/>
      <c r="TR8" s="189"/>
      <c r="TS8" s="189"/>
      <c r="TT8" s="189"/>
      <c r="TU8" s="189"/>
      <c r="TV8" s="189"/>
      <c r="TW8" s="189"/>
      <c r="TX8" s="189"/>
      <c r="TY8" s="189"/>
      <c r="TZ8" s="189"/>
      <c r="UA8" s="189"/>
      <c r="UB8" s="189"/>
      <c r="UC8" s="189"/>
      <c r="UD8" s="189"/>
      <c r="UE8" s="189"/>
      <c r="UF8" s="189"/>
      <c r="UG8" s="189"/>
      <c r="UH8" s="189"/>
      <c r="UI8" s="189"/>
      <c r="UJ8" s="189"/>
      <c r="UK8" s="189"/>
      <c r="UL8" s="189"/>
      <c r="UM8" s="189"/>
      <c r="UN8" s="189"/>
      <c r="UO8" s="189"/>
      <c r="UP8" s="189"/>
      <c r="UQ8" s="189"/>
      <c r="UR8" s="189"/>
      <c r="US8" s="189"/>
      <c r="UT8" s="189"/>
      <c r="UU8" s="189"/>
      <c r="UV8" s="189"/>
      <c r="UW8" s="189"/>
      <c r="UX8" s="189"/>
      <c r="UY8" s="189"/>
      <c r="UZ8" s="189"/>
      <c r="VA8" s="189"/>
      <c r="VB8" s="189"/>
      <c r="VC8" s="189"/>
      <c r="VD8" s="189"/>
      <c r="VE8" s="189"/>
      <c r="VF8" s="189"/>
      <c r="VG8" s="189"/>
      <c r="VH8" s="189"/>
      <c r="VI8" s="189"/>
      <c r="VJ8" s="189"/>
      <c r="VK8" s="189"/>
      <c r="VL8" s="189"/>
      <c r="VM8" s="189"/>
      <c r="VN8" s="189"/>
      <c r="VO8" s="189"/>
      <c r="VP8" s="189"/>
      <c r="VQ8" s="189"/>
      <c r="VR8" s="189"/>
      <c r="VS8" s="189"/>
      <c r="VT8" s="189"/>
      <c r="VU8" s="189"/>
      <c r="VV8" s="189"/>
      <c r="VW8" s="189"/>
      <c r="VX8" s="189"/>
      <c r="VY8" s="189"/>
      <c r="VZ8" s="189"/>
      <c r="WA8" s="189"/>
      <c r="WB8" s="189"/>
      <c r="WC8" s="189"/>
      <c r="WD8" s="189"/>
      <c r="WE8" s="189"/>
      <c r="WF8" s="189"/>
      <c r="WG8" s="189"/>
      <c r="WH8" s="189"/>
      <c r="WI8" s="189"/>
      <c r="WJ8" s="189"/>
      <c r="WK8" s="189"/>
      <c r="WL8" s="189"/>
      <c r="WM8" s="189"/>
      <c r="WN8" s="189"/>
      <c r="WO8" s="189"/>
      <c r="WP8" s="189"/>
      <c r="WQ8" s="189"/>
      <c r="WR8" s="189"/>
      <c r="WS8" s="189"/>
      <c r="WT8" s="189"/>
      <c r="WU8" s="189"/>
      <c r="WV8" s="189"/>
      <c r="WW8" s="189"/>
      <c r="WX8" s="189"/>
      <c r="WY8" s="189"/>
      <c r="WZ8" s="189"/>
      <c r="XA8" s="189"/>
      <c r="XB8" s="189"/>
      <c r="XC8" s="189"/>
      <c r="XD8" s="189"/>
      <c r="XE8" s="189"/>
      <c r="XF8" s="189"/>
      <c r="XG8" s="189"/>
      <c r="XH8" s="189"/>
      <c r="XI8" s="189"/>
      <c r="XJ8" s="189"/>
      <c r="XK8" s="189"/>
      <c r="XL8" s="189"/>
      <c r="XM8" s="189"/>
      <c r="XN8" s="189"/>
      <c r="XO8" s="189"/>
      <c r="XP8" s="189"/>
      <c r="XQ8" s="189"/>
      <c r="XR8" s="189"/>
      <c r="XS8" s="189"/>
      <c r="XT8" s="189"/>
      <c r="XU8" s="189"/>
      <c r="XV8" s="189"/>
      <c r="XW8" s="189"/>
      <c r="XX8" s="189"/>
      <c r="XY8" s="189"/>
      <c r="XZ8" s="189"/>
      <c r="YA8" s="189"/>
      <c r="YB8" s="189"/>
      <c r="YC8" s="189"/>
      <c r="YD8" s="189"/>
      <c r="YE8" s="189"/>
      <c r="YF8" s="189"/>
      <c r="YG8" s="189"/>
      <c r="YH8" s="189"/>
      <c r="YI8" s="189"/>
      <c r="YJ8" s="189"/>
      <c r="YK8" s="189"/>
      <c r="YL8" s="189"/>
      <c r="YM8" s="189"/>
      <c r="YN8" s="189"/>
      <c r="YO8" s="189"/>
      <c r="YP8" s="189"/>
      <c r="YQ8" s="189"/>
      <c r="YR8" s="189"/>
      <c r="YS8" s="189"/>
      <c r="YT8" s="189"/>
      <c r="YU8" s="189"/>
      <c r="YV8" s="189"/>
      <c r="YW8" s="189"/>
      <c r="YX8" s="189"/>
      <c r="YY8" s="189"/>
      <c r="YZ8" s="189"/>
      <c r="ZA8" s="189"/>
      <c r="ZB8" s="189"/>
      <c r="ZC8" s="189"/>
      <c r="ZD8" s="189"/>
      <c r="ZE8" s="189"/>
      <c r="ZF8" s="189"/>
      <c r="ZG8" s="189"/>
      <c r="ZH8" s="189"/>
      <c r="ZI8" s="189"/>
      <c r="ZJ8" s="189"/>
      <c r="ZK8" s="189"/>
      <c r="ZL8" s="189"/>
      <c r="ZM8" s="189"/>
      <c r="ZN8" s="189"/>
      <c r="ZO8" s="189"/>
      <c r="ZP8" s="189"/>
      <c r="ZQ8" s="189"/>
      <c r="ZR8" s="189"/>
      <c r="ZS8" s="189"/>
      <c r="ZT8" s="189"/>
      <c r="ZU8" s="189"/>
      <c r="ZV8" s="189"/>
      <c r="ZW8" s="189"/>
      <c r="ZX8" s="189"/>
      <c r="ZY8" s="189"/>
      <c r="ZZ8" s="189"/>
      <c r="AAA8" s="189"/>
      <c r="AAB8" s="189"/>
      <c r="AAC8" s="189"/>
      <c r="AAD8" s="189"/>
      <c r="AAE8" s="189"/>
      <c r="AAF8" s="189"/>
      <c r="AAG8" s="189"/>
      <c r="AAH8" s="189"/>
      <c r="AAI8" s="189"/>
      <c r="AAJ8" s="189"/>
      <c r="AAK8" s="189"/>
      <c r="AAL8" s="189"/>
      <c r="AAM8" s="189"/>
      <c r="AAN8" s="189"/>
      <c r="AAO8" s="189"/>
      <c r="AAP8" s="189"/>
      <c r="AAQ8" s="189"/>
      <c r="AAR8" s="189"/>
      <c r="AAS8" s="189"/>
      <c r="AAT8" s="189"/>
      <c r="AAU8" s="189"/>
      <c r="AAV8" s="189"/>
      <c r="AAW8" s="189"/>
      <c r="AAX8" s="189"/>
      <c r="AAY8" s="189"/>
      <c r="AAZ8" s="189"/>
      <c r="ABA8" s="189"/>
      <c r="ABB8" s="189"/>
      <c r="ABC8" s="189"/>
      <c r="ABD8" s="189"/>
      <c r="ABE8" s="189"/>
      <c r="ABF8" s="189"/>
      <c r="ABG8" s="189"/>
      <c r="ABH8" s="189"/>
      <c r="ABI8" s="189"/>
      <c r="ABJ8" s="189"/>
      <c r="ABK8" s="189"/>
      <c r="ABL8" s="189"/>
      <c r="ABM8" s="189"/>
      <c r="ABN8" s="189"/>
      <c r="ABO8" s="189"/>
      <c r="ABP8" s="189"/>
      <c r="ABQ8" s="189"/>
      <c r="ABR8" s="189"/>
      <c r="ABS8" s="189"/>
      <c r="ABT8" s="189"/>
      <c r="ABU8" s="189"/>
      <c r="ABV8" s="189"/>
      <c r="ABW8" s="189"/>
      <c r="ABX8" s="189"/>
      <c r="ABY8" s="189"/>
      <c r="ABZ8" s="189"/>
      <c r="ACA8" s="189"/>
      <c r="ACB8" s="189"/>
      <c r="ACC8" s="189"/>
      <c r="ACD8" s="189"/>
      <c r="ACE8" s="189"/>
      <c r="ACF8" s="189"/>
      <c r="ACG8" s="189"/>
      <c r="ACH8" s="189"/>
      <c r="ACI8" s="189"/>
      <c r="ACJ8" s="189"/>
      <c r="ACK8" s="189"/>
      <c r="ACL8" s="189"/>
      <c r="ACM8" s="189"/>
      <c r="ACN8" s="189"/>
      <c r="ACO8" s="189"/>
      <c r="ACP8" s="189"/>
      <c r="ACQ8" s="189"/>
      <c r="ACR8" s="189"/>
      <c r="ACS8" s="189"/>
      <c r="ACT8" s="189"/>
      <c r="ACU8" s="189"/>
      <c r="ACV8" s="189"/>
      <c r="ACW8" s="189"/>
      <c r="ACX8" s="189"/>
      <c r="ACY8" s="189"/>
      <c r="ACZ8" s="189"/>
      <c r="ADA8" s="189"/>
      <c r="ADB8" s="189"/>
      <c r="ADC8" s="189"/>
      <c r="ADD8" s="189"/>
      <c r="ADE8" s="189"/>
      <c r="ADF8" s="189"/>
      <c r="ADG8" s="189"/>
      <c r="ADH8" s="189"/>
      <c r="ADI8" s="189"/>
      <c r="ADJ8" s="189"/>
      <c r="ADK8" s="189"/>
      <c r="ADL8" s="189"/>
      <c r="ADM8" s="189"/>
      <c r="ADN8" s="189"/>
      <c r="ADO8" s="189"/>
      <c r="ADP8" s="189"/>
      <c r="ADQ8" s="189"/>
      <c r="ADR8" s="189"/>
      <c r="ADS8" s="189"/>
      <c r="ADT8" s="189"/>
      <c r="ADU8" s="189"/>
      <c r="ADV8" s="189"/>
      <c r="ADW8" s="189"/>
      <c r="ADX8" s="189"/>
      <c r="ADY8" s="189"/>
      <c r="ADZ8" s="189"/>
      <c r="AEA8" s="189"/>
      <c r="AEB8" s="189"/>
      <c r="AEC8" s="189"/>
      <c r="AED8" s="189"/>
      <c r="AEE8" s="189"/>
      <c r="AEF8" s="189"/>
      <c r="AEG8" s="189"/>
      <c r="AEH8" s="189"/>
      <c r="AEI8" s="189"/>
      <c r="AEJ8" s="189"/>
      <c r="AEK8" s="189"/>
      <c r="AEL8" s="189"/>
      <c r="AEM8" s="189"/>
      <c r="AEN8" s="189"/>
      <c r="AEO8" s="189"/>
      <c r="AEP8" s="189"/>
      <c r="AEQ8" s="189"/>
      <c r="AER8" s="189"/>
      <c r="AES8" s="189"/>
      <c r="AET8" s="189"/>
      <c r="AEU8" s="189"/>
      <c r="AEV8" s="189"/>
      <c r="AEW8" s="189"/>
      <c r="AEX8" s="189"/>
      <c r="AEY8" s="189"/>
      <c r="AEZ8" s="189"/>
      <c r="AFA8" s="189"/>
      <c r="AFB8" s="189"/>
      <c r="AFC8" s="189"/>
      <c r="AFD8" s="189"/>
      <c r="AFE8" s="189"/>
      <c r="AFF8" s="189"/>
      <c r="AFG8" s="189"/>
      <c r="AFH8" s="189"/>
      <c r="AFI8" s="189"/>
      <c r="AFJ8" s="189"/>
      <c r="AFK8" s="189"/>
      <c r="AFL8" s="189"/>
      <c r="AFM8" s="189"/>
      <c r="AFN8" s="189"/>
      <c r="AFO8" s="189"/>
      <c r="AFP8" s="189"/>
      <c r="AFQ8" s="189"/>
      <c r="AFR8" s="189"/>
      <c r="AFS8" s="189"/>
      <c r="AFT8" s="189"/>
      <c r="AFU8" s="189"/>
      <c r="AFV8" s="189"/>
      <c r="AFW8" s="189"/>
      <c r="AFX8" s="189"/>
      <c r="AFY8" s="189"/>
      <c r="AFZ8" s="189"/>
      <c r="AGA8" s="189"/>
      <c r="AGB8" s="189"/>
      <c r="AGC8" s="189"/>
      <c r="AGD8" s="189"/>
      <c r="AGE8" s="189"/>
      <c r="AGF8" s="189"/>
      <c r="AGG8" s="189"/>
      <c r="AGH8" s="189"/>
      <c r="AGI8" s="189"/>
      <c r="AGJ8" s="189"/>
      <c r="AGK8" s="189"/>
      <c r="AGL8" s="189"/>
      <c r="AGM8" s="189"/>
      <c r="AGN8" s="189"/>
      <c r="AGO8" s="189"/>
      <c r="AGP8" s="189"/>
      <c r="AGQ8" s="189"/>
      <c r="AGR8" s="189"/>
      <c r="AGS8" s="189"/>
      <c r="AGT8" s="189"/>
      <c r="AGU8" s="189"/>
      <c r="AGV8" s="189"/>
      <c r="AGW8" s="189"/>
      <c r="AGX8" s="189"/>
      <c r="AGY8" s="189"/>
      <c r="AGZ8" s="189"/>
      <c r="AHA8" s="189"/>
      <c r="AHB8" s="189"/>
      <c r="AHC8" s="189"/>
      <c r="AHD8" s="189"/>
      <c r="AHE8" s="189"/>
      <c r="AHF8" s="189"/>
      <c r="AHG8" s="189"/>
      <c r="AHH8" s="189"/>
      <c r="AHI8" s="189"/>
      <c r="AHJ8" s="189"/>
      <c r="AHK8" s="189"/>
      <c r="AHL8" s="189"/>
      <c r="AHM8" s="189"/>
      <c r="AHN8" s="189"/>
      <c r="AHO8" s="189"/>
      <c r="AHP8" s="189"/>
      <c r="AHQ8" s="189"/>
      <c r="AHR8" s="189"/>
      <c r="AHS8" s="189"/>
      <c r="AHT8" s="189"/>
      <c r="AHU8" s="189"/>
      <c r="AHV8" s="189"/>
      <c r="AHW8" s="189"/>
      <c r="AHX8" s="189"/>
      <c r="AHY8" s="189"/>
      <c r="AHZ8" s="189"/>
      <c r="AIA8" s="189"/>
      <c r="AIB8" s="189"/>
      <c r="AIC8" s="189"/>
      <c r="AID8" s="189"/>
      <c r="AIE8" s="189"/>
      <c r="AIF8" s="189"/>
      <c r="AIG8" s="189"/>
      <c r="AIH8" s="189"/>
      <c r="AII8" s="189"/>
      <c r="AIJ8" s="189"/>
      <c r="AIK8" s="189"/>
      <c r="AIL8" s="189"/>
      <c r="AIM8" s="189"/>
      <c r="AIN8" s="189"/>
      <c r="AIO8" s="189"/>
      <c r="AIP8" s="189"/>
      <c r="AIQ8" s="189"/>
      <c r="AIR8" s="189"/>
      <c r="AIS8" s="189"/>
      <c r="AIT8" s="189"/>
      <c r="AIU8" s="189"/>
      <c r="AIV8" s="189"/>
      <c r="AIW8" s="189"/>
      <c r="AIX8" s="189"/>
      <c r="AIY8" s="189"/>
      <c r="AIZ8" s="189"/>
      <c r="AJA8" s="189"/>
      <c r="AJB8" s="189"/>
      <c r="AJC8" s="189"/>
      <c r="AJD8" s="189"/>
      <c r="AJE8" s="189"/>
      <c r="AJF8" s="189"/>
      <c r="AJG8" s="189"/>
      <c r="AJH8" s="189"/>
      <c r="AJI8" s="189"/>
      <c r="AJJ8" s="189"/>
      <c r="AJK8" s="189"/>
      <c r="AJL8" s="189"/>
      <c r="AJM8" s="189"/>
      <c r="AJN8" s="189"/>
      <c r="AJO8" s="189"/>
      <c r="AJP8" s="189"/>
      <c r="AJQ8" s="189"/>
      <c r="AJR8" s="189"/>
      <c r="AJS8" s="189"/>
      <c r="AJT8" s="189"/>
      <c r="AJU8" s="189"/>
      <c r="AJV8" s="189"/>
      <c r="AJW8" s="189"/>
      <c r="AJX8" s="189"/>
      <c r="AJY8" s="189"/>
      <c r="AJZ8" s="189"/>
      <c r="AKA8" s="189"/>
      <c r="AKB8" s="189"/>
      <c r="AKC8" s="189"/>
      <c r="AKD8" s="189"/>
      <c r="AKE8" s="189"/>
      <c r="AKF8" s="189"/>
      <c r="AKG8" s="189"/>
      <c r="AKH8" s="189"/>
      <c r="AKI8" s="189"/>
      <c r="AKJ8" s="189"/>
      <c r="AKK8" s="189"/>
      <c r="AKL8" s="189"/>
      <c r="AKM8" s="189"/>
      <c r="AKN8" s="189"/>
      <c r="AKO8" s="189"/>
      <c r="AKP8" s="189"/>
      <c r="AKQ8" s="189"/>
      <c r="AKR8" s="189"/>
      <c r="AKS8" s="189"/>
      <c r="AKT8" s="189"/>
      <c r="AKU8" s="189"/>
      <c r="AKV8" s="189"/>
      <c r="AKW8" s="189"/>
      <c r="AKX8" s="189"/>
      <c r="AKY8" s="189"/>
      <c r="AKZ8" s="189"/>
      <c r="ALA8" s="189"/>
      <c r="ALB8" s="189"/>
      <c r="ALC8" s="189"/>
      <c r="ALD8" s="189"/>
      <c r="ALE8" s="189"/>
      <c r="ALF8" s="189"/>
      <c r="ALG8" s="189"/>
      <c r="ALH8" s="189"/>
      <c r="ALI8" s="189"/>
      <c r="ALJ8" s="189"/>
      <c r="ALK8" s="189"/>
      <c r="ALL8" s="189"/>
      <c r="ALM8" s="189"/>
      <c r="ALN8" s="189"/>
      <c r="ALO8" s="189"/>
      <c r="ALP8" s="189"/>
      <c r="ALQ8" s="189"/>
      <c r="ALR8" s="189"/>
      <c r="ALS8" s="189"/>
      <c r="ALT8" s="189"/>
      <c r="ALU8" s="189"/>
      <c r="ALV8" s="189"/>
      <c r="ALW8" s="189"/>
      <c r="ALX8" s="189"/>
      <c r="ALY8" s="189"/>
      <c r="ALZ8" s="189"/>
      <c r="AMA8" s="189"/>
      <c r="AMB8" s="189"/>
      <c r="AMC8" s="189"/>
      <c r="AMD8" s="189"/>
      <c r="AME8" s="189"/>
      <c r="AMF8" s="189"/>
      <c r="AMG8" s="189"/>
      <c r="AMH8" s="189"/>
      <c r="AMI8" s="189"/>
      <c r="AMJ8" s="189"/>
      <c r="AMK8" s="189"/>
      <c r="AML8" s="189"/>
      <c r="AMM8" s="189"/>
      <c r="AMN8" s="189"/>
      <c r="AMO8" s="189"/>
      <c r="AMP8" s="189"/>
      <c r="AMQ8" s="189"/>
      <c r="AMR8" s="189"/>
      <c r="AMS8" s="189"/>
      <c r="AMT8" s="189"/>
      <c r="AMU8" s="189"/>
      <c r="AMV8" s="189"/>
      <c r="AMW8" s="189"/>
      <c r="AMX8" s="189"/>
      <c r="AMY8" s="189"/>
      <c r="AMZ8" s="189"/>
      <c r="ANA8" s="189"/>
      <c r="ANB8" s="189"/>
      <c r="ANC8" s="189"/>
      <c r="AND8" s="189"/>
      <c r="ANE8" s="189"/>
      <c r="ANF8" s="189"/>
      <c r="ANG8" s="189"/>
      <c r="ANH8" s="189"/>
      <c r="ANI8" s="189"/>
      <c r="ANJ8" s="189"/>
      <c r="ANK8" s="189"/>
      <c r="ANL8" s="189"/>
      <c r="ANM8" s="189"/>
      <c r="ANN8" s="189"/>
      <c r="ANO8" s="189"/>
      <c r="ANP8" s="189"/>
      <c r="ANQ8" s="189"/>
      <c r="ANR8" s="189"/>
      <c r="ANS8" s="189"/>
      <c r="ANT8" s="189"/>
      <c r="ANU8" s="189"/>
      <c r="ANV8" s="189"/>
      <c r="ANW8" s="189"/>
      <c r="ANX8" s="189"/>
      <c r="ANY8" s="189"/>
      <c r="ANZ8" s="189"/>
      <c r="AOA8" s="189"/>
      <c r="AOB8" s="189"/>
      <c r="AOC8" s="189"/>
      <c r="AOD8" s="189"/>
      <c r="AOE8" s="189"/>
      <c r="AOF8" s="189"/>
      <c r="AOG8" s="189"/>
      <c r="AOH8" s="189"/>
      <c r="AOI8" s="189"/>
      <c r="AOJ8" s="189"/>
      <c r="AOK8" s="189"/>
      <c r="AOL8" s="189"/>
      <c r="AOM8" s="189"/>
      <c r="AON8" s="189"/>
      <c r="AOO8" s="189"/>
      <c r="AOP8" s="189"/>
      <c r="AOQ8" s="189"/>
      <c r="AOR8" s="189"/>
      <c r="AOS8" s="189"/>
      <c r="AOT8" s="189"/>
      <c r="AOU8" s="189"/>
      <c r="AOV8" s="189"/>
      <c r="AOW8" s="189"/>
      <c r="AOX8" s="189"/>
      <c r="AOY8" s="189"/>
      <c r="AOZ8" s="189"/>
      <c r="APA8" s="189"/>
      <c r="APB8" s="189"/>
      <c r="APC8" s="189"/>
      <c r="APD8" s="189"/>
      <c r="APE8" s="189"/>
      <c r="APF8" s="189"/>
      <c r="APG8" s="189"/>
      <c r="APH8" s="189"/>
      <c r="API8" s="189"/>
      <c r="APJ8" s="189"/>
      <c r="APK8" s="189"/>
      <c r="APL8" s="189"/>
      <c r="APM8" s="189"/>
      <c r="APN8" s="189"/>
      <c r="APO8" s="189"/>
      <c r="APP8" s="189"/>
      <c r="APQ8" s="189"/>
      <c r="APR8" s="189"/>
      <c r="APS8" s="189"/>
      <c r="APT8" s="189"/>
      <c r="APU8" s="189"/>
      <c r="APV8" s="189"/>
      <c r="APW8" s="189"/>
      <c r="APX8" s="189"/>
      <c r="APY8" s="189"/>
      <c r="APZ8" s="189"/>
      <c r="AQA8" s="189"/>
      <c r="AQB8" s="189"/>
      <c r="AQC8" s="189"/>
      <c r="AQD8" s="189"/>
      <c r="AQE8" s="189"/>
      <c r="AQF8" s="189"/>
      <c r="AQG8" s="189"/>
      <c r="AQH8" s="189"/>
      <c r="AQI8" s="189"/>
      <c r="AQJ8" s="189"/>
      <c r="AQK8" s="189"/>
      <c r="AQL8" s="189"/>
      <c r="AQM8" s="189"/>
      <c r="AQN8" s="189"/>
      <c r="AQO8" s="189"/>
      <c r="AQP8" s="189"/>
      <c r="AQQ8" s="189"/>
      <c r="AQR8" s="189"/>
      <c r="AQS8" s="189"/>
      <c r="AQT8" s="189"/>
      <c r="AQU8" s="189"/>
      <c r="AQV8" s="189"/>
      <c r="AQW8" s="189"/>
      <c r="AQX8" s="189"/>
      <c r="AQY8" s="189"/>
      <c r="AQZ8" s="189"/>
      <c r="ARA8" s="189"/>
      <c r="ARB8" s="189"/>
      <c r="ARC8" s="189"/>
      <c r="ARD8" s="189"/>
      <c r="ARE8" s="189"/>
      <c r="ARF8" s="189"/>
      <c r="ARG8" s="189"/>
      <c r="ARH8" s="189"/>
      <c r="ARI8" s="189"/>
      <c r="ARJ8" s="189"/>
      <c r="ARK8" s="189"/>
      <c r="ARL8" s="189"/>
      <c r="ARM8" s="189"/>
      <c r="ARN8" s="189"/>
      <c r="ARO8" s="189"/>
      <c r="ARP8" s="189"/>
      <c r="ARQ8" s="189"/>
      <c r="ARR8" s="189"/>
      <c r="ARS8" s="189"/>
      <c r="ART8" s="189"/>
      <c r="ARU8" s="189"/>
      <c r="ARV8" s="189"/>
      <c r="ARW8" s="189"/>
      <c r="ARX8" s="189"/>
      <c r="ARY8" s="189"/>
      <c r="ARZ8" s="189"/>
      <c r="ASA8" s="189"/>
      <c r="ASB8" s="189"/>
      <c r="ASC8" s="189"/>
      <c r="ASD8" s="189"/>
      <c r="ASE8" s="189"/>
      <c r="ASF8" s="189"/>
      <c r="ASG8" s="189"/>
      <c r="ASH8" s="189"/>
      <c r="ASI8" s="189"/>
      <c r="ASJ8" s="189"/>
      <c r="ASK8" s="189"/>
      <c r="ASL8" s="189"/>
      <c r="ASM8" s="189"/>
      <c r="ASN8" s="189"/>
      <c r="ASO8" s="189"/>
      <c r="ASP8" s="189"/>
      <c r="ASQ8" s="189"/>
      <c r="ASR8" s="189"/>
      <c r="ASS8" s="189"/>
      <c r="AST8" s="189"/>
      <c r="ASU8" s="189"/>
      <c r="ASV8" s="189"/>
      <c r="ASW8" s="189"/>
      <c r="ASX8" s="189"/>
      <c r="ASY8" s="189"/>
      <c r="ASZ8" s="189"/>
      <c r="ATA8" s="189"/>
      <c r="ATB8" s="189"/>
      <c r="ATC8" s="189"/>
      <c r="ATD8" s="189"/>
      <c r="ATE8" s="189"/>
      <c r="ATF8" s="189"/>
      <c r="ATG8" s="189"/>
      <c r="ATH8" s="189"/>
      <c r="ATI8" s="189"/>
      <c r="ATJ8" s="189"/>
      <c r="ATK8" s="189"/>
      <c r="ATL8" s="189"/>
      <c r="ATM8" s="189"/>
      <c r="ATN8" s="189"/>
      <c r="ATO8" s="189"/>
      <c r="ATP8" s="189"/>
      <c r="ATQ8" s="189"/>
      <c r="ATR8" s="189"/>
      <c r="ATS8" s="189"/>
      <c r="ATT8" s="189"/>
      <c r="ATU8" s="189"/>
      <c r="ATV8" s="189"/>
      <c r="ATW8" s="189"/>
      <c r="ATX8" s="189"/>
      <c r="ATY8" s="189"/>
      <c r="ATZ8" s="189"/>
      <c r="AUA8" s="189"/>
      <c r="AUB8" s="189"/>
      <c r="AUC8" s="189"/>
      <c r="AUD8" s="189"/>
      <c r="AUE8" s="189"/>
      <c r="AUF8" s="189"/>
      <c r="AUG8" s="189"/>
      <c r="AUH8" s="189"/>
      <c r="AUI8" s="189"/>
      <c r="AUJ8" s="189"/>
      <c r="AUK8" s="189"/>
      <c r="AUL8" s="189"/>
      <c r="AUM8" s="189"/>
      <c r="AUN8" s="189"/>
      <c r="AUO8" s="189"/>
      <c r="AUP8" s="189"/>
      <c r="AUQ8" s="189"/>
      <c r="AUR8" s="189"/>
      <c r="AUS8" s="189"/>
      <c r="AUT8" s="189"/>
      <c r="AUU8" s="189"/>
      <c r="AUV8" s="189"/>
      <c r="AUW8" s="189"/>
      <c r="AUX8" s="189"/>
      <c r="AUY8" s="189"/>
      <c r="AUZ8" s="189"/>
      <c r="AVA8" s="189"/>
      <c r="AVB8" s="189"/>
      <c r="AVC8" s="189"/>
      <c r="AVD8" s="189"/>
      <c r="AVE8" s="189"/>
      <c r="AVF8" s="189"/>
      <c r="AVG8" s="189"/>
      <c r="AVH8" s="189"/>
      <c r="AVI8" s="189"/>
      <c r="AVJ8" s="189"/>
      <c r="AVK8" s="189"/>
      <c r="AVL8" s="189"/>
      <c r="AVM8" s="189"/>
      <c r="AVN8" s="189"/>
      <c r="AVO8" s="189"/>
      <c r="AVP8" s="189"/>
      <c r="AVQ8" s="189"/>
      <c r="AVR8" s="189"/>
      <c r="AVS8" s="189"/>
      <c r="AVT8" s="189"/>
      <c r="AVU8" s="189"/>
      <c r="AVV8" s="189"/>
      <c r="AVW8" s="189"/>
      <c r="AVX8" s="189"/>
      <c r="AVY8" s="189"/>
      <c r="AVZ8" s="189"/>
      <c r="AWA8" s="189"/>
      <c r="AWB8" s="189"/>
      <c r="AWC8" s="189"/>
      <c r="AWD8" s="189"/>
      <c r="AWE8" s="189"/>
      <c r="AWF8" s="189"/>
      <c r="AWG8" s="189"/>
      <c r="AWH8" s="189"/>
      <c r="AWI8" s="189"/>
      <c r="AWJ8" s="189"/>
      <c r="AWK8" s="189"/>
      <c r="AWL8" s="189"/>
      <c r="AWM8" s="189"/>
      <c r="AWN8" s="189"/>
      <c r="AWO8" s="189"/>
      <c r="AWP8" s="189"/>
      <c r="AWQ8" s="189"/>
      <c r="AWR8" s="189"/>
      <c r="AWS8" s="189"/>
      <c r="AWT8" s="189"/>
      <c r="AWU8" s="189"/>
      <c r="AWV8" s="189"/>
      <c r="AWW8" s="189"/>
      <c r="AWX8" s="189"/>
      <c r="AWY8" s="189"/>
      <c r="AWZ8" s="189"/>
      <c r="AXA8" s="189"/>
      <c r="AXB8" s="189"/>
      <c r="AXC8" s="189"/>
      <c r="AXD8" s="189"/>
      <c r="AXE8" s="189"/>
      <c r="AXF8" s="189"/>
      <c r="AXG8" s="189"/>
      <c r="AXH8" s="189"/>
      <c r="AXI8" s="189"/>
      <c r="AXJ8" s="189"/>
      <c r="AXK8" s="189"/>
      <c r="AXL8" s="189"/>
      <c r="AXM8" s="189"/>
      <c r="AXN8" s="189"/>
      <c r="AXO8" s="189"/>
      <c r="AXP8" s="189"/>
      <c r="AXQ8" s="189"/>
      <c r="AXR8" s="189"/>
      <c r="AXS8" s="189"/>
      <c r="AXT8" s="189"/>
      <c r="AXU8" s="189"/>
      <c r="AXV8" s="189"/>
      <c r="AXW8" s="189"/>
      <c r="AXX8" s="189"/>
      <c r="AXY8" s="189"/>
      <c r="AXZ8" s="189"/>
      <c r="AYA8" s="189"/>
      <c r="AYB8" s="189"/>
      <c r="AYC8" s="189"/>
      <c r="AYD8" s="189"/>
      <c r="AYE8" s="189"/>
      <c r="AYF8" s="189"/>
      <c r="AYG8" s="189"/>
      <c r="AYH8" s="189"/>
      <c r="AYI8" s="189"/>
      <c r="AYJ8" s="189"/>
      <c r="AYK8" s="189"/>
      <c r="AYL8" s="189"/>
      <c r="AYM8" s="189"/>
      <c r="AYN8" s="189"/>
      <c r="AYO8" s="189"/>
      <c r="AYP8" s="189"/>
      <c r="AYQ8" s="189"/>
      <c r="AYR8" s="189"/>
      <c r="AYS8" s="189"/>
      <c r="AYT8" s="189"/>
      <c r="AYU8" s="189"/>
      <c r="AYV8" s="189"/>
      <c r="AYW8" s="189"/>
      <c r="AYX8" s="189"/>
      <c r="AYY8" s="189"/>
      <c r="AYZ8" s="189"/>
      <c r="AZA8" s="189"/>
      <c r="AZB8" s="189"/>
      <c r="AZC8" s="189"/>
      <c r="AZD8" s="189"/>
      <c r="AZE8" s="189"/>
      <c r="AZF8" s="189"/>
      <c r="AZG8" s="189"/>
      <c r="AZH8" s="189"/>
      <c r="AZI8" s="189"/>
      <c r="AZJ8" s="189"/>
      <c r="AZK8" s="189"/>
      <c r="AZL8" s="189"/>
      <c r="AZM8" s="189"/>
      <c r="AZN8" s="189"/>
      <c r="AZO8" s="189"/>
      <c r="AZP8" s="189"/>
      <c r="AZQ8" s="189"/>
      <c r="AZR8" s="189"/>
      <c r="AZS8" s="189"/>
      <c r="AZT8" s="189"/>
      <c r="AZU8" s="189"/>
      <c r="AZV8" s="189"/>
      <c r="AZW8" s="189"/>
      <c r="AZX8" s="189"/>
      <c r="AZY8" s="189"/>
      <c r="AZZ8" s="189"/>
      <c r="BAA8" s="189"/>
      <c r="BAB8" s="189"/>
      <c r="BAC8" s="189"/>
      <c r="BAD8" s="189"/>
      <c r="BAE8" s="189"/>
      <c r="BAF8" s="189"/>
      <c r="BAG8" s="189"/>
      <c r="BAH8" s="189"/>
      <c r="BAI8" s="189"/>
      <c r="BAJ8" s="189"/>
      <c r="BAK8" s="189"/>
      <c r="BAL8" s="189"/>
      <c r="BAM8" s="189"/>
      <c r="BAN8" s="189"/>
      <c r="BAO8" s="189"/>
      <c r="BAP8" s="189"/>
      <c r="BAQ8" s="189"/>
      <c r="BAR8" s="189"/>
      <c r="BAS8" s="189"/>
      <c r="BAT8" s="189"/>
      <c r="BAU8" s="189"/>
      <c r="BAV8" s="189"/>
      <c r="BAW8" s="189"/>
      <c r="BAX8" s="189"/>
      <c r="BAY8" s="189"/>
      <c r="BAZ8" s="189"/>
      <c r="BBA8" s="189"/>
      <c r="BBB8" s="189"/>
      <c r="BBC8" s="189"/>
      <c r="BBD8" s="189"/>
      <c r="BBE8" s="189"/>
      <c r="BBF8" s="189"/>
      <c r="BBG8" s="189"/>
      <c r="BBH8" s="189"/>
      <c r="BBI8" s="189"/>
      <c r="BBJ8" s="189"/>
      <c r="BBK8" s="189"/>
      <c r="BBL8" s="189"/>
      <c r="BBM8" s="189"/>
      <c r="BBN8" s="189"/>
      <c r="BBO8" s="189"/>
      <c r="BBP8" s="189"/>
      <c r="BBQ8" s="189"/>
      <c r="BBR8" s="189"/>
      <c r="BBS8" s="189"/>
      <c r="BBT8" s="189"/>
      <c r="BBU8" s="189"/>
      <c r="BBV8" s="189"/>
      <c r="BBW8" s="189"/>
      <c r="BBX8" s="189"/>
      <c r="BBY8" s="189"/>
      <c r="BBZ8" s="189"/>
      <c r="BCA8" s="189"/>
      <c r="BCB8" s="189"/>
      <c r="BCC8" s="189"/>
      <c r="BCD8" s="189"/>
      <c r="BCE8" s="189"/>
      <c r="BCF8" s="189"/>
      <c r="BCG8" s="189"/>
      <c r="BCH8" s="189"/>
      <c r="BCI8" s="189"/>
      <c r="BCJ8" s="189"/>
      <c r="BCK8" s="189"/>
      <c r="BCL8" s="189"/>
      <c r="BCM8" s="189"/>
      <c r="BCN8" s="189"/>
      <c r="BCO8" s="189"/>
      <c r="BCP8" s="189"/>
      <c r="BCQ8" s="189"/>
      <c r="BCR8" s="189"/>
      <c r="BCS8" s="189"/>
      <c r="BCT8" s="189"/>
      <c r="BCU8" s="189"/>
      <c r="BCV8" s="189"/>
      <c r="BCW8" s="189"/>
      <c r="BCX8" s="189"/>
      <c r="BCY8" s="189"/>
      <c r="BCZ8" s="189"/>
      <c r="BDA8" s="189"/>
      <c r="BDB8" s="189"/>
      <c r="BDC8" s="189"/>
      <c r="BDD8" s="189"/>
      <c r="BDE8" s="189"/>
      <c r="BDF8" s="189"/>
      <c r="BDG8" s="189"/>
      <c r="BDH8" s="189"/>
      <c r="BDI8" s="189"/>
      <c r="BDJ8" s="189"/>
      <c r="BDK8" s="189"/>
      <c r="BDL8" s="189"/>
      <c r="BDM8" s="189"/>
      <c r="BDN8" s="189"/>
      <c r="BDO8" s="189"/>
      <c r="BDP8" s="189"/>
      <c r="BDQ8" s="189"/>
      <c r="BDR8" s="189"/>
      <c r="BDS8" s="189"/>
      <c r="BDT8" s="189"/>
      <c r="BDU8" s="189"/>
      <c r="BDV8" s="189"/>
      <c r="BDW8" s="189"/>
      <c r="BDX8" s="189"/>
      <c r="BDY8" s="189"/>
      <c r="BDZ8" s="189"/>
      <c r="BEA8" s="189"/>
      <c r="BEB8" s="189"/>
      <c r="BEC8" s="189"/>
      <c r="BED8" s="189"/>
      <c r="BEE8" s="189"/>
      <c r="BEF8" s="189"/>
      <c r="BEG8" s="189"/>
      <c r="BEH8" s="189"/>
      <c r="BEI8" s="189"/>
      <c r="BEJ8" s="189"/>
      <c r="BEK8" s="189"/>
      <c r="BEL8" s="189"/>
      <c r="BEM8" s="189"/>
      <c r="BEN8" s="189"/>
      <c r="BEO8" s="189"/>
      <c r="BEP8" s="189"/>
      <c r="BEQ8" s="189"/>
      <c r="BER8" s="189"/>
      <c r="BES8" s="189"/>
      <c r="BET8" s="189"/>
      <c r="BEU8" s="189"/>
      <c r="BEV8" s="189"/>
      <c r="BEW8" s="189"/>
      <c r="BEX8" s="189"/>
      <c r="BEY8" s="189"/>
      <c r="BEZ8" s="189"/>
      <c r="BFA8" s="189"/>
      <c r="BFB8" s="189"/>
      <c r="BFC8" s="189"/>
      <c r="BFD8" s="189"/>
      <c r="BFE8" s="189"/>
      <c r="BFF8" s="189"/>
      <c r="BFG8" s="189"/>
      <c r="BFH8" s="189"/>
      <c r="BFI8" s="189"/>
      <c r="BFJ8" s="189"/>
      <c r="BFK8" s="189"/>
      <c r="BFL8" s="189"/>
      <c r="BFM8" s="189"/>
      <c r="BFN8" s="189"/>
      <c r="BFO8" s="189"/>
      <c r="BFP8" s="189"/>
      <c r="BFQ8" s="189"/>
      <c r="BFR8" s="189"/>
      <c r="BFS8" s="189"/>
      <c r="BFT8" s="189"/>
      <c r="BFU8" s="189"/>
      <c r="BFV8" s="189"/>
      <c r="BFW8" s="189"/>
      <c r="BFX8" s="189"/>
      <c r="BFY8" s="189"/>
      <c r="BFZ8" s="189"/>
      <c r="BGA8" s="189"/>
      <c r="BGB8" s="189"/>
      <c r="BGC8" s="189"/>
      <c r="BGD8" s="189"/>
      <c r="BGE8" s="189"/>
      <c r="BGF8" s="189"/>
      <c r="BGG8" s="189"/>
      <c r="BGH8" s="189"/>
      <c r="BGI8" s="189"/>
      <c r="BGJ8" s="189"/>
      <c r="BGK8" s="189"/>
      <c r="BGL8" s="189"/>
      <c r="BGM8" s="189"/>
      <c r="BGN8" s="189"/>
      <c r="BGO8" s="189"/>
      <c r="BGP8" s="189"/>
      <c r="BGQ8" s="189"/>
      <c r="BGR8" s="189"/>
      <c r="BGS8" s="189"/>
      <c r="BGT8" s="189"/>
      <c r="BGU8" s="189"/>
      <c r="BGV8" s="189"/>
      <c r="BGW8" s="189"/>
      <c r="BGX8" s="189"/>
      <c r="BGY8" s="189"/>
      <c r="BGZ8" s="189"/>
      <c r="BHA8" s="189"/>
      <c r="BHB8" s="189"/>
      <c r="BHC8" s="189"/>
      <c r="BHD8" s="189"/>
      <c r="BHE8" s="189"/>
      <c r="BHF8" s="189"/>
      <c r="BHG8" s="189"/>
      <c r="BHH8" s="189"/>
      <c r="BHI8" s="189"/>
      <c r="BHJ8" s="189"/>
      <c r="BHK8" s="189"/>
      <c r="BHL8" s="189"/>
      <c r="BHM8" s="189"/>
      <c r="BHN8" s="189"/>
      <c r="BHO8" s="189"/>
      <c r="BHP8" s="189"/>
      <c r="BHQ8" s="189"/>
      <c r="BHR8" s="189"/>
      <c r="BHS8" s="189"/>
      <c r="BHT8" s="189"/>
      <c r="BHU8" s="189"/>
      <c r="BHV8" s="189"/>
      <c r="BHW8" s="189"/>
      <c r="BHX8" s="189"/>
      <c r="BHY8" s="189"/>
      <c r="BHZ8" s="189"/>
      <c r="BIA8" s="189"/>
      <c r="BIB8" s="189"/>
      <c r="BIC8" s="189"/>
      <c r="BID8" s="189"/>
      <c r="BIE8" s="189"/>
      <c r="BIF8" s="189"/>
      <c r="BIG8" s="189"/>
      <c r="BIH8" s="189"/>
      <c r="BII8" s="189"/>
      <c r="BIJ8" s="189"/>
      <c r="BIK8" s="189"/>
      <c r="BIL8" s="189"/>
      <c r="BIM8" s="189"/>
      <c r="BIN8" s="189"/>
      <c r="BIO8" s="189"/>
      <c r="BIP8" s="189"/>
      <c r="BIQ8" s="189"/>
      <c r="BIR8" s="189"/>
      <c r="BIS8" s="189"/>
      <c r="BIT8" s="189"/>
      <c r="BIU8" s="189"/>
      <c r="BIV8" s="189"/>
      <c r="BIW8" s="189"/>
      <c r="BIX8" s="189"/>
      <c r="BIY8" s="189"/>
      <c r="BIZ8" s="189"/>
      <c r="BJA8" s="189"/>
      <c r="BJB8" s="189"/>
      <c r="BJC8" s="189"/>
      <c r="BJD8" s="189"/>
      <c r="BJE8" s="189"/>
      <c r="BJF8" s="189"/>
      <c r="BJG8" s="189"/>
      <c r="BJH8" s="189"/>
      <c r="BJI8" s="189"/>
      <c r="BJJ8" s="189"/>
      <c r="BJK8" s="189"/>
      <c r="BJL8" s="189"/>
      <c r="BJM8" s="189"/>
      <c r="BJN8" s="189"/>
      <c r="BJO8" s="189"/>
      <c r="BJP8" s="189"/>
      <c r="BJQ8" s="189"/>
      <c r="BJR8" s="189"/>
      <c r="BJS8" s="189"/>
      <c r="BJT8" s="189"/>
      <c r="BJU8" s="189"/>
      <c r="BJV8" s="189"/>
      <c r="BJW8" s="189"/>
      <c r="BJX8" s="189"/>
      <c r="BJY8" s="189"/>
      <c r="BJZ8" s="189"/>
      <c r="BKA8" s="189"/>
      <c r="BKB8" s="189"/>
      <c r="BKC8" s="189"/>
      <c r="BKD8" s="189"/>
      <c r="BKE8" s="189"/>
      <c r="BKF8" s="189"/>
      <c r="BKG8" s="189"/>
      <c r="BKH8" s="189"/>
      <c r="BKI8" s="189"/>
      <c r="BKJ8" s="189"/>
      <c r="BKK8" s="189"/>
      <c r="BKL8" s="189"/>
      <c r="BKM8" s="189"/>
      <c r="BKN8" s="189"/>
      <c r="BKO8" s="189"/>
      <c r="BKP8" s="189"/>
      <c r="BKQ8" s="189"/>
      <c r="BKR8" s="189"/>
      <c r="BKS8" s="189"/>
      <c r="BKT8" s="189"/>
      <c r="BKU8" s="189"/>
      <c r="BKV8" s="189"/>
      <c r="BKW8" s="189"/>
      <c r="BKX8" s="189"/>
      <c r="BKY8" s="189"/>
      <c r="BKZ8" s="189"/>
      <c r="BLA8" s="189"/>
      <c r="BLB8" s="189"/>
      <c r="BLC8" s="189"/>
      <c r="BLD8" s="189"/>
      <c r="BLE8" s="189"/>
      <c r="BLF8" s="189"/>
      <c r="BLG8" s="189"/>
      <c r="BLH8" s="189"/>
      <c r="BLI8" s="189"/>
      <c r="BLJ8" s="189"/>
      <c r="BLK8" s="189"/>
      <c r="BLL8" s="189"/>
      <c r="BLM8" s="189"/>
      <c r="BLN8" s="189"/>
      <c r="BLO8" s="189"/>
      <c r="BLP8" s="189"/>
      <c r="BLQ8" s="189"/>
      <c r="BLR8" s="189"/>
      <c r="BLS8" s="189"/>
      <c r="BLT8" s="189"/>
      <c r="BLU8" s="189"/>
      <c r="BLV8" s="189"/>
      <c r="BLW8" s="189"/>
      <c r="BLX8" s="189"/>
      <c r="BLY8" s="189"/>
      <c r="BLZ8" s="189"/>
      <c r="BMA8" s="189"/>
      <c r="BMB8" s="189"/>
      <c r="BMC8" s="189"/>
      <c r="BMD8" s="189"/>
      <c r="BME8" s="189"/>
      <c r="BMF8" s="189"/>
      <c r="BMG8" s="189"/>
      <c r="BMH8" s="189"/>
      <c r="BMI8" s="189"/>
      <c r="BMJ8" s="189"/>
      <c r="BMK8" s="189"/>
      <c r="BML8" s="189"/>
      <c r="BMM8" s="189"/>
      <c r="BMN8" s="189"/>
      <c r="BMO8" s="189"/>
      <c r="BMP8" s="189"/>
      <c r="BMQ8" s="189"/>
      <c r="BMR8" s="189"/>
      <c r="BMS8" s="189"/>
      <c r="BMT8" s="189"/>
      <c r="BMU8" s="189"/>
      <c r="BMV8" s="189"/>
      <c r="BMW8" s="189"/>
      <c r="BMX8" s="189"/>
      <c r="BMY8" s="189"/>
      <c r="BMZ8" s="189"/>
      <c r="BNA8" s="189"/>
      <c r="BNB8" s="189"/>
      <c r="BNC8" s="189"/>
      <c r="BND8" s="189"/>
      <c r="BNE8" s="189"/>
      <c r="BNF8" s="189"/>
      <c r="BNG8" s="189"/>
      <c r="BNH8" s="189"/>
      <c r="BNI8" s="189"/>
      <c r="BNJ8" s="189"/>
      <c r="BNK8" s="189"/>
      <c r="BNL8" s="189"/>
      <c r="BNM8" s="189"/>
      <c r="BNN8" s="189"/>
      <c r="BNO8" s="189"/>
      <c r="BNP8" s="189"/>
      <c r="BNQ8" s="189"/>
      <c r="BNR8" s="189"/>
      <c r="BNS8" s="189"/>
      <c r="BNT8" s="189"/>
      <c r="BNU8" s="189"/>
      <c r="BNV8" s="189"/>
      <c r="BNW8" s="189"/>
      <c r="BNX8" s="189"/>
      <c r="BNY8" s="189"/>
      <c r="BNZ8" s="189"/>
      <c r="BOA8" s="189"/>
      <c r="BOB8" s="189"/>
      <c r="BOC8" s="189"/>
      <c r="BOD8" s="189"/>
      <c r="BOE8" s="189"/>
      <c r="BOF8" s="189"/>
      <c r="BOG8" s="189"/>
      <c r="BOH8" s="189"/>
      <c r="BOI8" s="189"/>
      <c r="BOJ8" s="189"/>
      <c r="BOK8" s="189"/>
      <c r="BOL8" s="189"/>
      <c r="BOM8" s="189"/>
      <c r="BON8" s="189"/>
      <c r="BOO8" s="189"/>
      <c r="BOP8" s="189"/>
      <c r="BOQ8" s="189"/>
      <c r="BOR8" s="189"/>
      <c r="BOS8" s="189"/>
      <c r="BOT8" s="189"/>
      <c r="BOU8" s="189"/>
      <c r="BOV8" s="189"/>
      <c r="BOW8" s="189"/>
      <c r="BOX8" s="189"/>
      <c r="BOY8" s="189"/>
      <c r="BOZ8" s="189"/>
      <c r="BPA8" s="189"/>
      <c r="BPB8" s="189"/>
      <c r="BPC8" s="189"/>
      <c r="BPD8" s="189"/>
      <c r="BPE8" s="189"/>
      <c r="BPF8" s="189"/>
      <c r="BPG8" s="189"/>
      <c r="BPH8" s="189"/>
      <c r="BPI8" s="189"/>
      <c r="BPJ8" s="189"/>
      <c r="BPK8" s="189"/>
      <c r="BPL8" s="189"/>
      <c r="BPM8" s="189"/>
      <c r="BPN8" s="189"/>
      <c r="BPO8" s="189"/>
      <c r="BPP8" s="189"/>
      <c r="BPQ8" s="189"/>
      <c r="BPR8" s="189"/>
      <c r="BPS8" s="189"/>
      <c r="BPT8" s="189"/>
      <c r="BPU8" s="189"/>
      <c r="BPV8" s="189"/>
      <c r="BPW8" s="189"/>
      <c r="BPX8" s="189"/>
      <c r="BPY8" s="189"/>
      <c r="BPZ8" s="189"/>
      <c r="BQA8" s="189"/>
      <c r="BQB8" s="189"/>
      <c r="BQC8" s="189"/>
      <c r="BQD8" s="189"/>
      <c r="BQE8" s="189"/>
      <c r="BQF8" s="189"/>
      <c r="BQG8" s="189"/>
      <c r="BQH8" s="189"/>
      <c r="BQI8" s="189"/>
      <c r="BQJ8" s="189"/>
      <c r="BQK8" s="189"/>
      <c r="BQL8" s="189"/>
      <c r="BQM8" s="189"/>
      <c r="BQN8" s="189"/>
      <c r="BQO8" s="189"/>
      <c r="BQP8" s="189"/>
      <c r="BQQ8" s="189"/>
      <c r="BQR8" s="189"/>
      <c r="BQS8" s="189"/>
      <c r="BQT8" s="189"/>
      <c r="BQU8" s="189"/>
      <c r="BQV8" s="189"/>
      <c r="BQW8" s="189"/>
      <c r="BQX8" s="189"/>
      <c r="BQY8" s="189"/>
      <c r="BQZ8" s="189"/>
      <c r="BRA8" s="189"/>
      <c r="BRB8" s="189"/>
      <c r="BRC8" s="189"/>
      <c r="BRD8" s="189"/>
      <c r="BRE8" s="189"/>
      <c r="BRF8" s="189"/>
      <c r="BRG8" s="189"/>
      <c r="BRH8" s="189"/>
      <c r="BRI8" s="189"/>
      <c r="BRJ8" s="189"/>
      <c r="BRK8" s="189"/>
      <c r="BRL8" s="189"/>
      <c r="BRM8" s="189"/>
      <c r="BRN8" s="189"/>
      <c r="BRO8" s="189"/>
      <c r="BRP8" s="189"/>
      <c r="BRQ8" s="189"/>
      <c r="BRR8" s="189"/>
      <c r="BRS8" s="189"/>
      <c r="BRT8" s="189"/>
      <c r="BRU8" s="189"/>
      <c r="BRV8" s="189"/>
      <c r="BRW8" s="189"/>
      <c r="BRX8" s="189"/>
      <c r="BRY8" s="189"/>
      <c r="BRZ8" s="189"/>
      <c r="BSA8" s="189"/>
      <c r="BSB8" s="189"/>
      <c r="BSC8" s="189"/>
      <c r="BSD8" s="189"/>
      <c r="BSE8" s="189"/>
      <c r="BSF8" s="189"/>
      <c r="BSG8" s="189"/>
      <c r="BSH8" s="189"/>
      <c r="BSI8" s="189"/>
      <c r="BSJ8" s="189"/>
      <c r="BSK8" s="189"/>
      <c r="BSL8" s="189"/>
      <c r="BSM8" s="189"/>
      <c r="BSN8" s="189"/>
      <c r="BSO8" s="189"/>
      <c r="BSP8" s="189"/>
      <c r="BSQ8" s="189"/>
      <c r="BSR8" s="189"/>
      <c r="BSS8" s="189"/>
      <c r="BST8" s="189"/>
      <c r="BSU8" s="189"/>
      <c r="BSV8" s="189"/>
      <c r="BSW8" s="189"/>
      <c r="BSX8" s="189"/>
      <c r="BSY8" s="189"/>
      <c r="BSZ8" s="189"/>
      <c r="BTA8" s="189"/>
      <c r="BTB8" s="189"/>
      <c r="BTC8" s="189"/>
      <c r="BTD8" s="189"/>
      <c r="BTE8" s="189"/>
      <c r="BTF8" s="189"/>
      <c r="BTG8" s="189"/>
      <c r="BTH8" s="189"/>
      <c r="BTI8" s="189"/>
      <c r="BTJ8" s="189"/>
      <c r="BTK8" s="189"/>
      <c r="BTL8" s="189"/>
      <c r="BTM8" s="189"/>
      <c r="BTN8" s="189"/>
      <c r="BTO8" s="189"/>
      <c r="BTP8" s="189"/>
      <c r="BTQ8" s="189"/>
      <c r="BTR8" s="189"/>
      <c r="BTS8" s="189"/>
      <c r="BTT8" s="189"/>
      <c r="BTU8" s="189"/>
      <c r="BTV8" s="189"/>
      <c r="BTW8" s="189"/>
      <c r="BTX8" s="189"/>
      <c r="BTY8" s="189"/>
      <c r="BTZ8" s="189"/>
      <c r="BUA8" s="189"/>
      <c r="BUB8" s="189"/>
      <c r="BUC8" s="189"/>
      <c r="BUD8" s="189"/>
      <c r="BUE8" s="189"/>
      <c r="BUF8" s="189"/>
      <c r="BUG8" s="189"/>
      <c r="BUH8" s="189"/>
      <c r="BUI8" s="189"/>
      <c r="BUJ8" s="189"/>
      <c r="BUK8" s="189"/>
      <c r="BUL8" s="189"/>
      <c r="BUM8" s="189"/>
      <c r="BUN8" s="189"/>
      <c r="BUO8" s="189"/>
      <c r="BUP8" s="189"/>
      <c r="BUQ8" s="189"/>
      <c r="BUR8" s="189"/>
      <c r="BUS8" s="189"/>
      <c r="BUT8" s="189"/>
      <c r="BUU8" s="189"/>
      <c r="BUV8" s="189"/>
      <c r="BUW8" s="189"/>
      <c r="BUX8" s="189"/>
      <c r="BUY8" s="189"/>
      <c r="BUZ8" s="189"/>
      <c r="BVA8" s="189"/>
      <c r="BVB8" s="189"/>
      <c r="BVC8" s="189"/>
      <c r="BVD8" s="189"/>
      <c r="BVE8" s="189"/>
      <c r="BVF8" s="189"/>
      <c r="BVG8" s="189"/>
      <c r="BVH8" s="189"/>
      <c r="BVI8" s="189"/>
      <c r="BVJ8" s="189"/>
      <c r="BVK8" s="189"/>
      <c r="BVL8" s="189"/>
      <c r="BVM8" s="189"/>
      <c r="BVN8" s="189"/>
      <c r="BVO8" s="189"/>
      <c r="BVP8" s="189"/>
      <c r="BVQ8" s="189"/>
      <c r="BVR8" s="189"/>
      <c r="BVS8" s="189"/>
      <c r="BVT8" s="189"/>
      <c r="BVU8" s="189"/>
      <c r="BVV8" s="189"/>
      <c r="BVW8" s="189"/>
      <c r="BVX8" s="189"/>
      <c r="BVY8" s="189"/>
      <c r="BVZ8" s="189"/>
      <c r="BWA8" s="189"/>
      <c r="BWB8" s="189"/>
      <c r="BWC8" s="189"/>
      <c r="BWD8" s="189"/>
      <c r="BWE8" s="189"/>
      <c r="BWF8" s="189"/>
      <c r="BWG8" s="189"/>
      <c r="BWH8" s="189"/>
      <c r="BWI8" s="189"/>
      <c r="BWJ8" s="189"/>
      <c r="BWK8" s="189"/>
      <c r="BWL8" s="189"/>
      <c r="BWM8" s="189"/>
      <c r="BWN8" s="189"/>
      <c r="BWO8" s="189"/>
      <c r="BWP8" s="189"/>
      <c r="BWQ8" s="189"/>
      <c r="BWR8" s="189"/>
      <c r="BWS8" s="189"/>
      <c r="BWT8" s="189"/>
      <c r="BWU8" s="189"/>
      <c r="BWV8" s="189"/>
      <c r="BWW8" s="189"/>
      <c r="BWX8" s="189"/>
      <c r="BWY8" s="189"/>
      <c r="BWZ8" s="189"/>
      <c r="BXA8" s="189"/>
      <c r="BXB8" s="189"/>
      <c r="BXC8" s="189"/>
      <c r="BXD8" s="189"/>
      <c r="BXE8" s="189"/>
      <c r="BXF8" s="189"/>
      <c r="BXG8" s="189"/>
      <c r="BXH8" s="189"/>
      <c r="BXI8" s="189"/>
      <c r="BXJ8" s="189"/>
      <c r="BXK8" s="189"/>
      <c r="BXL8" s="189"/>
      <c r="BXM8" s="189"/>
      <c r="BXN8" s="189"/>
      <c r="BXO8" s="189"/>
      <c r="BXP8" s="189"/>
      <c r="BXQ8" s="189"/>
      <c r="BXR8" s="189"/>
      <c r="BXS8" s="189"/>
      <c r="BXT8" s="189"/>
      <c r="BXU8" s="189"/>
      <c r="BXV8" s="189"/>
      <c r="BXW8" s="189"/>
      <c r="BXX8" s="189"/>
      <c r="BXY8" s="189"/>
      <c r="BXZ8" s="189"/>
      <c r="BYA8" s="189"/>
      <c r="BYB8" s="189"/>
      <c r="BYC8" s="189"/>
      <c r="BYD8" s="189"/>
      <c r="BYE8" s="189"/>
      <c r="BYF8" s="189"/>
      <c r="BYG8" s="189"/>
      <c r="BYH8" s="189"/>
      <c r="BYI8" s="189"/>
      <c r="BYJ8" s="189"/>
      <c r="BYK8" s="189"/>
      <c r="BYL8" s="189"/>
      <c r="BYM8" s="189"/>
      <c r="BYN8" s="189"/>
      <c r="BYO8" s="189"/>
      <c r="BYP8" s="189"/>
      <c r="BYQ8" s="189"/>
      <c r="BYR8" s="189"/>
      <c r="BYS8" s="189"/>
      <c r="BYT8" s="189"/>
      <c r="BYU8" s="189"/>
      <c r="BYV8" s="189"/>
      <c r="BYW8" s="189"/>
      <c r="BYX8" s="189"/>
      <c r="BYY8" s="189"/>
      <c r="BYZ8" s="189"/>
      <c r="BZA8" s="189"/>
      <c r="BZB8" s="189"/>
      <c r="BZC8" s="189"/>
      <c r="BZD8" s="189"/>
      <c r="BZE8" s="189"/>
      <c r="BZF8" s="189"/>
      <c r="BZG8" s="189"/>
      <c r="BZH8" s="189"/>
      <c r="BZI8" s="189"/>
      <c r="BZJ8" s="189"/>
      <c r="BZK8" s="189"/>
      <c r="BZL8" s="189"/>
      <c r="BZM8" s="189"/>
      <c r="BZN8" s="189"/>
      <c r="BZO8" s="189"/>
      <c r="BZP8" s="189"/>
      <c r="BZQ8" s="189"/>
      <c r="BZR8" s="189"/>
      <c r="BZS8" s="189"/>
      <c r="BZT8" s="189"/>
      <c r="BZU8" s="189"/>
      <c r="BZV8" s="189"/>
      <c r="BZW8" s="189"/>
      <c r="BZX8" s="189"/>
      <c r="BZY8" s="189"/>
      <c r="BZZ8" s="189"/>
      <c r="CAA8" s="189"/>
      <c r="CAB8" s="189"/>
      <c r="CAC8" s="189"/>
      <c r="CAD8" s="189"/>
      <c r="CAE8" s="189"/>
      <c r="CAF8" s="189"/>
      <c r="CAG8" s="189"/>
      <c r="CAH8" s="189"/>
      <c r="CAI8" s="189"/>
      <c r="CAJ8" s="189"/>
      <c r="CAK8" s="189"/>
      <c r="CAL8" s="189"/>
      <c r="CAM8" s="189"/>
      <c r="CAN8" s="189"/>
      <c r="CAO8" s="189"/>
      <c r="CAP8" s="189"/>
      <c r="CAQ8" s="189"/>
      <c r="CAR8" s="189"/>
      <c r="CAS8" s="189"/>
      <c r="CAT8" s="189"/>
      <c r="CAU8" s="189"/>
      <c r="CAV8" s="189"/>
      <c r="CAW8" s="189"/>
      <c r="CAX8" s="189"/>
      <c r="CAY8" s="189"/>
      <c r="CAZ8" s="189"/>
      <c r="CBA8" s="189"/>
      <c r="CBB8" s="189"/>
      <c r="CBC8" s="189"/>
      <c r="CBD8" s="189"/>
      <c r="CBE8" s="189"/>
      <c r="CBF8" s="189"/>
      <c r="CBG8" s="189"/>
      <c r="CBH8" s="189"/>
      <c r="CBI8" s="189"/>
      <c r="CBJ8" s="189"/>
      <c r="CBK8" s="189"/>
      <c r="CBL8" s="189"/>
      <c r="CBM8" s="189"/>
      <c r="CBN8" s="189"/>
      <c r="CBO8" s="189"/>
      <c r="CBP8" s="189"/>
      <c r="CBQ8" s="189"/>
      <c r="CBR8" s="189"/>
      <c r="CBS8" s="189"/>
      <c r="CBT8" s="189"/>
      <c r="CBU8" s="189"/>
      <c r="CBV8" s="189"/>
      <c r="CBW8" s="189"/>
      <c r="CBX8" s="189"/>
      <c r="CBY8" s="189"/>
      <c r="CBZ8" s="189"/>
      <c r="CCA8" s="189"/>
      <c r="CCB8" s="189"/>
      <c r="CCC8" s="189"/>
      <c r="CCD8" s="189"/>
      <c r="CCE8" s="189"/>
      <c r="CCF8" s="189"/>
      <c r="CCG8" s="189"/>
      <c r="CCH8" s="189"/>
      <c r="CCI8" s="189"/>
      <c r="CCJ8" s="189"/>
      <c r="CCK8" s="189"/>
      <c r="CCL8" s="189"/>
      <c r="CCM8" s="189"/>
      <c r="CCN8" s="189"/>
      <c r="CCO8" s="189"/>
      <c r="CCP8" s="189"/>
      <c r="CCQ8" s="189"/>
      <c r="CCR8" s="189"/>
      <c r="CCS8" s="189"/>
      <c r="CCT8" s="189"/>
      <c r="CCU8" s="189"/>
      <c r="CCV8" s="189"/>
    </row>
    <row r="9" spans="1:2129 15008:15068 15384:15392" s="77" customFormat="1" ht="23.25" customHeight="1" x14ac:dyDescent="0.2">
      <c r="A9" s="77" t="s">
        <v>28</v>
      </c>
      <c r="B9" s="77" t="s">
        <v>87</v>
      </c>
      <c r="C9" s="77" t="s">
        <v>86</v>
      </c>
      <c r="D9" s="77" t="s">
        <v>85</v>
      </c>
      <c r="E9" s="77" t="s">
        <v>84</v>
      </c>
      <c r="F9" s="77" t="s">
        <v>83</v>
      </c>
      <c r="G9" s="86" t="s">
        <v>55</v>
      </c>
      <c r="H9" s="85" t="s">
        <v>82</v>
      </c>
      <c r="I9" s="84" t="s">
        <v>81</v>
      </c>
      <c r="J9" s="197" t="s">
        <v>80</v>
      </c>
      <c r="K9" s="84" t="s">
        <v>79</v>
      </c>
      <c r="L9" s="82" t="s">
        <v>78</v>
      </c>
      <c r="M9" s="81" t="s">
        <v>77</v>
      </c>
      <c r="N9" s="83" t="s">
        <v>76</v>
      </c>
      <c r="O9" s="82" t="s">
        <v>75</v>
      </c>
      <c r="P9" s="81" t="s">
        <v>74</v>
      </c>
      <c r="Q9" s="80" t="s">
        <v>176</v>
      </c>
      <c r="R9" s="83" t="s">
        <v>73</v>
      </c>
      <c r="S9" s="82" t="s">
        <v>72</v>
      </c>
      <c r="T9" s="81" t="s">
        <v>71</v>
      </c>
      <c r="U9" s="197" t="s">
        <v>70</v>
      </c>
      <c r="V9" s="197" t="s">
        <v>69</v>
      </c>
      <c r="W9" s="197" t="s">
        <v>12</v>
      </c>
      <c r="X9" s="80" t="s">
        <v>38</v>
      </c>
      <c r="Y9" s="80" t="s">
        <v>68</v>
      </c>
      <c r="Z9" s="80" t="s">
        <v>67</v>
      </c>
      <c r="AA9" s="145" t="s">
        <v>181</v>
      </c>
      <c r="AB9" s="145" t="s">
        <v>182</v>
      </c>
      <c r="AC9" s="79" t="s">
        <v>66</v>
      </c>
      <c r="AD9" s="79" t="s">
        <v>62</v>
      </c>
      <c r="AE9" s="79" t="s">
        <v>65</v>
      </c>
      <c r="AF9" s="79" t="s">
        <v>62</v>
      </c>
      <c r="AG9" s="79" t="s">
        <v>64</v>
      </c>
      <c r="AH9" s="78" t="s">
        <v>63</v>
      </c>
      <c r="AI9" s="78" t="s">
        <v>63</v>
      </c>
      <c r="AJ9" s="79" t="s">
        <v>66</v>
      </c>
      <c r="AK9" s="79" t="s">
        <v>62</v>
      </c>
      <c r="AL9" s="79" t="s">
        <v>65</v>
      </c>
      <c r="AM9" s="79" t="s">
        <v>62</v>
      </c>
      <c r="AN9" s="79" t="s">
        <v>64</v>
      </c>
      <c r="AO9" s="78" t="s">
        <v>63</v>
      </c>
      <c r="AP9" s="78" t="s">
        <v>63</v>
      </c>
      <c r="AQ9" s="79" t="s">
        <v>66</v>
      </c>
      <c r="AR9" s="79" t="s">
        <v>62</v>
      </c>
      <c r="AS9" s="79" t="s">
        <v>65</v>
      </c>
      <c r="AT9" s="79" t="s">
        <v>62</v>
      </c>
      <c r="AU9" s="79" t="s">
        <v>64</v>
      </c>
      <c r="AV9" s="78" t="s">
        <v>63</v>
      </c>
      <c r="AW9" s="78" t="s">
        <v>63</v>
      </c>
      <c r="AX9" s="79" t="s">
        <v>66</v>
      </c>
      <c r="AY9" s="79" t="s">
        <v>62</v>
      </c>
      <c r="AZ9" s="79" t="s">
        <v>65</v>
      </c>
      <c r="BA9" s="79" t="s">
        <v>62</v>
      </c>
      <c r="BB9" s="79" t="s">
        <v>64</v>
      </c>
      <c r="BC9" s="78" t="s">
        <v>63</v>
      </c>
      <c r="BD9" s="78" t="s">
        <v>63</v>
      </c>
      <c r="BE9" s="79" t="s">
        <v>66</v>
      </c>
      <c r="BF9" s="79" t="s">
        <v>62</v>
      </c>
      <c r="BG9" s="79" t="s">
        <v>65</v>
      </c>
      <c r="BH9" s="79" t="s">
        <v>62</v>
      </c>
      <c r="BI9" s="79" t="s">
        <v>64</v>
      </c>
      <c r="BJ9" s="78" t="s">
        <v>63</v>
      </c>
      <c r="BK9" s="78" t="s">
        <v>63</v>
      </c>
      <c r="BL9" s="79" t="s">
        <v>66</v>
      </c>
      <c r="BM9" s="79" t="s">
        <v>62</v>
      </c>
      <c r="BN9" s="79" t="s">
        <v>65</v>
      </c>
      <c r="BO9" s="79" t="s">
        <v>62</v>
      </c>
      <c r="BP9" s="79" t="s">
        <v>64</v>
      </c>
      <c r="BQ9" s="78" t="s">
        <v>63</v>
      </c>
      <c r="BR9" s="78" t="s">
        <v>63</v>
      </c>
      <c r="BS9" s="79" t="s">
        <v>66</v>
      </c>
      <c r="BT9" s="79" t="s">
        <v>62</v>
      </c>
      <c r="BU9" s="79" t="s">
        <v>65</v>
      </c>
      <c r="BV9" s="79" t="s">
        <v>62</v>
      </c>
      <c r="BW9" s="79" t="s">
        <v>64</v>
      </c>
      <c r="BX9" s="78" t="s">
        <v>63</v>
      </c>
      <c r="BY9" s="78" t="s">
        <v>63</v>
      </c>
      <c r="BZ9" s="79" t="s">
        <v>66</v>
      </c>
      <c r="CA9" s="79" t="s">
        <v>62</v>
      </c>
      <c r="CB9" s="79" t="s">
        <v>65</v>
      </c>
      <c r="CC9" s="79" t="s">
        <v>62</v>
      </c>
      <c r="CD9" s="79" t="s">
        <v>64</v>
      </c>
      <c r="CE9" s="78" t="s">
        <v>63</v>
      </c>
      <c r="CF9" s="78" t="s">
        <v>63</v>
      </c>
      <c r="CG9" s="79"/>
      <c r="CH9" s="79"/>
      <c r="CI9" s="79"/>
      <c r="CJ9" s="79"/>
      <c r="CK9" s="79"/>
      <c r="CL9" s="78"/>
      <c r="CM9" s="78"/>
      <c r="CN9" s="79"/>
      <c r="CO9" s="79"/>
      <c r="CP9" s="79"/>
      <c r="CQ9" s="79"/>
      <c r="CR9" s="79"/>
      <c r="CS9" s="78"/>
      <c r="CT9" s="78"/>
      <c r="CU9" s="79"/>
      <c r="CV9" s="79"/>
      <c r="CW9" s="79"/>
      <c r="CX9" s="79"/>
      <c r="CY9" s="79"/>
      <c r="CZ9" s="78"/>
      <c r="DA9" s="78"/>
      <c r="DB9" s="79"/>
      <c r="DC9" s="79"/>
      <c r="DD9" s="79"/>
      <c r="DE9" s="79"/>
      <c r="DF9" s="79"/>
      <c r="DG9" s="78"/>
      <c r="DH9" s="78"/>
      <c r="DI9" s="79"/>
      <c r="DJ9" s="79"/>
      <c r="DK9" s="79"/>
      <c r="DL9" s="79"/>
      <c r="DM9" s="79"/>
      <c r="DN9" s="78"/>
      <c r="DO9" s="78"/>
      <c r="DP9" s="79"/>
      <c r="DQ9" s="79"/>
      <c r="DR9" s="79"/>
      <c r="DS9" s="79"/>
      <c r="DT9" s="79"/>
      <c r="DU9" s="78"/>
      <c r="DV9" s="78"/>
      <c r="DW9" s="79"/>
      <c r="DX9" s="79"/>
      <c r="DY9" s="79"/>
      <c r="DZ9" s="79"/>
      <c r="EA9" s="79"/>
      <c r="EB9" s="78"/>
      <c r="EC9" s="78"/>
      <c r="ED9" s="79"/>
      <c r="EE9" s="79"/>
      <c r="EF9" s="79"/>
      <c r="EG9" s="79"/>
      <c r="EH9" s="79"/>
      <c r="EI9" s="78"/>
      <c r="EJ9" s="78"/>
      <c r="EK9" s="79"/>
      <c r="EL9" s="79"/>
      <c r="EM9" s="79"/>
      <c r="EN9" s="79"/>
      <c r="EO9" s="79"/>
      <c r="EP9" s="78"/>
      <c r="EQ9" s="78"/>
      <c r="ER9" s="79"/>
      <c r="ES9" s="79"/>
      <c r="ET9" s="79"/>
      <c r="EU9" s="79"/>
      <c r="EV9" s="79"/>
      <c r="EW9" s="78"/>
      <c r="EX9" s="78"/>
      <c r="EY9" s="79"/>
      <c r="EZ9" s="79"/>
      <c r="FA9" s="79"/>
      <c r="FB9" s="79"/>
      <c r="FC9" s="79"/>
      <c r="FD9" s="78"/>
      <c r="FE9" s="78"/>
      <c r="FF9" s="79"/>
      <c r="FG9" s="79"/>
      <c r="FH9" s="79"/>
      <c r="FI9" s="79"/>
      <c r="FJ9" s="79"/>
      <c r="FK9" s="78"/>
      <c r="FL9" s="78"/>
      <c r="FM9" s="79"/>
      <c r="FN9" s="79"/>
      <c r="FO9" s="79"/>
      <c r="FP9" s="79"/>
      <c r="FQ9" s="79"/>
      <c r="FR9" s="78"/>
      <c r="FS9" s="78"/>
      <c r="FT9" s="79"/>
      <c r="FU9" s="79"/>
      <c r="FV9" s="79"/>
      <c r="FW9" s="79"/>
      <c r="FX9" s="79"/>
      <c r="FY9" s="78"/>
      <c r="FZ9" s="78"/>
      <c r="GA9" s="79"/>
      <c r="GB9" s="79"/>
      <c r="GC9" s="79"/>
      <c r="GD9" s="79"/>
      <c r="GE9" s="79"/>
      <c r="GF9" s="78"/>
      <c r="GG9" s="78"/>
      <c r="GH9" s="79"/>
      <c r="GI9" s="79"/>
      <c r="GJ9" s="79"/>
      <c r="GK9" s="79"/>
      <c r="GL9" s="79"/>
      <c r="GM9" s="78"/>
      <c r="GN9" s="78"/>
      <c r="GO9" s="79"/>
      <c r="GP9" s="79"/>
      <c r="GQ9" s="79"/>
      <c r="GR9" s="79"/>
      <c r="GS9" s="79"/>
      <c r="GT9" s="78"/>
      <c r="GU9" s="78"/>
      <c r="GV9" s="79"/>
      <c r="GW9" s="79"/>
      <c r="GX9" s="79"/>
      <c r="GY9" s="79"/>
      <c r="GZ9" s="79"/>
      <c r="HA9" s="78"/>
      <c r="HB9" s="78"/>
      <c r="HC9" s="79"/>
      <c r="HD9" s="79"/>
      <c r="HE9" s="79"/>
      <c r="HF9" s="79"/>
      <c r="HG9" s="79"/>
      <c r="HH9" s="78"/>
      <c r="HI9" s="78"/>
      <c r="HJ9" s="79"/>
      <c r="HK9" s="79"/>
      <c r="HL9" s="79"/>
      <c r="HM9" s="79"/>
      <c r="HN9" s="79"/>
      <c r="HO9" s="78"/>
      <c r="HP9" s="78"/>
      <c r="HQ9" s="79"/>
      <c r="HR9" s="79"/>
      <c r="HS9" s="79"/>
      <c r="HT9" s="79"/>
      <c r="HU9" s="79"/>
      <c r="HV9" s="78"/>
      <c r="HW9" s="78"/>
      <c r="HX9" s="79"/>
      <c r="HY9" s="79"/>
      <c r="HZ9" s="79"/>
      <c r="IA9" s="79"/>
      <c r="IB9" s="79"/>
      <c r="IC9" s="78"/>
      <c r="ID9" s="78"/>
      <c r="IE9" s="79"/>
      <c r="IF9" s="79"/>
      <c r="IG9" s="79"/>
      <c r="IH9" s="79"/>
      <c r="II9" s="79"/>
      <c r="IJ9" s="78"/>
      <c r="IK9" s="78"/>
      <c r="IL9" s="79"/>
      <c r="IM9" s="79"/>
      <c r="IN9" s="79"/>
      <c r="IO9" s="79"/>
      <c r="IP9" s="79"/>
      <c r="IQ9" s="78"/>
      <c r="IR9" s="78"/>
      <c r="IS9" s="79"/>
      <c r="IT9" s="79"/>
      <c r="IU9" s="79"/>
      <c r="IV9" s="79"/>
      <c r="IW9" s="79"/>
      <c r="IX9" s="78"/>
      <c r="IY9" s="78"/>
      <c r="IZ9" s="79"/>
      <c r="JA9" s="79"/>
      <c r="JB9" s="79"/>
      <c r="JC9" s="79"/>
      <c r="JD9" s="79"/>
      <c r="JE9" s="78"/>
      <c r="JF9" s="78"/>
      <c r="JG9" s="79"/>
      <c r="JH9" s="79"/>
      <c r="JI9" s="79"/>
      <c r="JJ9" s="79"/>
      <c r="JK9" s="79"/>
      <c r="JL9" s="78"/>
      <c r="JM9" s="78"/>
      <c r="JN9" s="79"/>
      <c r="JO9" s="79"/>
      <c r="JP9" s="79"/>
      <c r="JQ9" s="79"/>
      <c r="JR9" s="79"/>
      <c r="JS9" s="78"/>
      <c r="JT9" s="78"/>
      <c r="JU9" s="79"/>
      <c r="JV9" s="79"/>
      <c r="JW9" s="79"/>
      <c r="JX9" s="79"/>
      <c r="JY9" s="79"/>
      <c r="JZ9" s="78"/>
      <c r="KA9" s="78"/>
      <c r="KB9" s="79"/>
      <c r="KC9" s="79"/>
      <c r="KD9" s="79"/>
      <c r="KE9" s="79"/>
      <c r="KF9" s="79"/>
      <c r="KG9" s="78"/>
      <c r="KH9" s="78"/>
      <c r="KI9" s="79"/>
      <c r="KJ9" s="79"/>
      <c r="KK9" s="79"/>
      <c r="KL9" s="79"/>
      <c r="KM9" s="79"/>
      <c r="KN9" s="78"/>
      <c r="KO9" s="78"/>
      <c r="KP9" s="79"/>
      <c r="KQ9" s="79"/>
      <c r="KR9" s="79"/>
      <c r="KS9" s="79"/>
      <c r="KT9" s="79"/>
      <c r="KU9" s="78"/>
      <c r="KV9" s="78"/>
      <c r="KW9" s="79"/>
      <c r="KX9" s="79"/>
      <c r="KY9" s="79"/>
      <c r="KZ9" s="79"/>
      <c r="LA9" s="79"/>
      <c r="LB9" s="78"/>
      <c r="LC9" s="78"/>
      <c r="LD9" s="79"/>
      <c r="LE9" s="79"/>
      <c r="LF9" s="79"/>
      <c r="LG9" s="79"/>
      <c r="LH9" s="79"/>
      <c r="LI9" s="78"/>
      <c r="LJ9" s="78"/>
      <c r="LK9" s="79"/>
      <c r="LL9" s="79"/>
      <c r="LM9" s="79"/>
      <c r="LN9" s="79"/>
      <c r="LO9" s="79"/>
      <c r="LP9" s="78"/>
      <c r="LQ9" s="78"/>
      <c r="LR9" s="79"/>
      <c r="LS9" s="79"/>
      <c r="LT9" s="79"/>
      <c r="LU9" s="79"/>
      <c r="LV9" s="79"/>
      <c r="LW9" s="78"/>
      <c r="LX9" s="78"/>
      <c r="LY9" s="79"/>
      <c r="LZ9" s="79"/>
      <c r="MA9" s="79"/>
      <c r="MB9" s="79"/>
      <c r="MC9" s="79"/>
      <c r="MD9" s="78"/>
      <c r="ME9" s="78"/>
      <c r="MF9" s="79"/>
      <c r="MG9" s="79"/>
      <c r="MH9" s="79"/>
      <c r="MI9" s="79"/>
      <c r="MJ9" s="79"/>
      <c r="MK9" s="78"/>
      <c r="ML9" s="78"/>
      <c r="MM9" s="79"/>
      <c r="MN9" s="79"/>
      <c r="MO9" s="79"/>
      <c r="MP9" s="79"/>
      <c r="MQ9" s="79"/>
      <c r="MR9" s="78"/>
      <c r="MS9" s="78"/>
      <c r="MT9" s="79"/>
      <c r="MU9" s="79"/>
      <c r="MV9" s="79"/>
      <c r="MW9" s="79"/>
      <c r="MX9" s="79"/>
      <c r="MY9" s="78"/>
      <c r="MZ9" s="78"/>
      <c r="NA9" s="79"/>
      <c r="NB9" s="79"/>
      <c r="NC9" s="79"/>
      <c r="ND9" s="79"/>
      <c r="NE9" s="79"/>
      <c r="NF9" s="78"/>
      <c r="NG9" s="78"/>
      <c r="NH9" s="79"/>
      <c r="NI9" s="79"/>
      <c r="NJ9" s="79"/>
      <c r="NK9" s="79"/>
      <c r="NL9" s="79"/>
      <c r="NM9" s="78"/>
      <c r="NN9" s="78"/>
      <c r="NO9" s="79"/>
      <c r="NP9" s="79"/>
      <c r="NQ9" s="79"/>
      <c r="NR9" s="79"/>
      <c r="NS9" s="79"/>
      <c r="NT9" s="78"/>
      <c r="NU9" s="78"/>
      <c r="NV9" s="79"/>
      <c r="NW9" s="79"/>
      <c r="NX9" s="79"/>
      <c r="NY9" s="79"/>
      <c r="NZ9" s="79"/>
      <c r="OA9" s="78"/>
      <c r="OB9" s="78"/>
      <c r="OC9" s="79"/>
      <c r="OD9" s="79"/>
      <c r="OE9" s="79"/>
      <c r="OF9" s="79"/>
      <c r="OG9" s="79"/>
      <c r="OH9" s="78"/>
      <c r="OI9" s="78"/>
      <c r="OJ9" s="79"/>
      <c r="OK9" s="79"/>
      <c r="OL9" s="79"/>
      <c r="OM9" s="79"/>
      <c r="ON9" s="79"/>
      <c r="OO9" s="78"/>
      <c r="OP9" s="78"/>
      <c r="OQ9" s="79"/>
      <c r="OR9" s="79"/>
      <c r="OS9" s="79"/>
      <c r="OT9" s="79"/>
      <c r="OU9" s="79"/>
      <c r="OV9" s="78"/>
      <c r="OW9" s="78"/>
      <c r="OX9" s="79"/>
      <c r="OY9" s="79"/>
      <c r="OZ9" s="79"/>
      <c r="PA9" s="79"/>
      <c r="PB9" s="79"/>
      <c r="PC9" s="78"/>
      <c r="PD9" s="78"/>
      <c r="PE9" s="79"/>
      <c r="PF9" s="79"/>
      <c r="PG9" s="79"/>
      <c r="PH9" s="79"/>
      <c r="PI9" s="79"/>
      <c r="PJ9" s="78"/>
      <c r="PK9" s="78"/>
      <c r="PL9" s="79"/>
      <c r="PM9" s="79"/>
      <c r="PN9" s="79"/>
      <c r="PO9" s="79"/>
      <c r="PP9" s="79"/>
      <c r="PQ9" s="78"/>
      <c r="PR9" s="78"/>
      <c r="PS9" s="79"/>
      <c r="PT9" s="79"/>
      <c r="PU9" s="79"/>
      <c r="PV9" s="79"/>
      <c r="PW9" s="79"/>
      <c r="PX9" s="78"/>
      <c r="PY9" s="78"/>
      <c r="PZ9" s="79"/>
      <c r="QA9" s="79"/>
      <c r="QB9" s="79"/>
      <c r="QC9" s="79"/>
      <c r="QD9" s="79"/>
      <c r="QE9" s="78"/>
      <c r="QF9" s="78"/>
      <c r="QG9" s="79"/>
      <c r="QH9" s="79"/>
      <c r="QI9" s="79"/>
      <c r="QJ9" s="79"/>
      <c r="QK9" s="79"/>
      <c r="QL9" s="78"/>
      <c r="QM9" s="78"/>
      <c r="QN9" s="79"/>
      <c r="QO9" s="79"/>
      <c r="QP9" s="79"/>
      <c r="QQ9" s="79"/>
      <c r="QR9" s="79"/>
      <c r="QS9" s="78"/>
      <c r="QT9" s="78"/>
      <c r="QU9" s="79"/>
      <c r="QV9" s="79"/>
      <c r="QW9" s="79"/>
      <c r="QX9" s="79"/>
      <c r="QY9" s="79"/>
      <c r="QZ9" s="78"/>
      <c r="RA9" s="78"/>
      <c r="RB9" s="79"/>
      <c r="RC9" s="79"/>
      <c r="RD9" s="79"/>
      <c r="RE9" s="79"/>
      <c r="RF9" s="79"/>
      <c r="RG9" s="78"/>
      <c r="RH9" s="78"/>
      <c r="RI9" s="79"/>
      <c r="RJ9" s="79"/>
      <c r="RK9" s="79"/>
      <c r="RL9" s="79"/>
      <c r="RM9" s="79"/>
      <c r="RN9" s="78"/>
      <c r="RO9" s="78"/>
      <c r="RP9" s="79"/>
      <c r="RQ9" s="79"/>
      <c r="RR9" s="79"/>
      <c r="RS9" s="79"/>
      <c r="RT9" s="79"/>
      <c r="RU9" s="78"/>
      <c r="RV9" s="78"/>
      <c r="RW9" s="79"/>
      <c r="RX9" s="79"/>
      <c r="RY9" s="79"/>
      <c r="RZ9" s="79"/>
      <c r="SA9" s="79"/>
      <c r="SB9" s="78"/>
      <c r="SC9" s="78"/>
      <c r="SD9" s="79"/>
      <c r="SE9" s="79"/>
      <c r="SF9" s="79"/>
      <c r="SG9" s="79"/>
      <c r="SH9" s="79"/>
      <c r="SI9" s="78"/>
      <c r="SJ9" s="78"/>
      <c r="SK9" s="79"/>
      <c r="SL9" s="79"/>
      <c r="SM9" s="79"/>
      <c r="SN9" s="79"/>
      <c r="SO9" s="79"/>
      <c r="SP9" s="78"/>
      <c r="SQ9" s="78"/>
      <c r="SR9" s="79"/>
      <c r="SS9" s="79"/>
      <c r="ST9" s="79"/>
      <c r="SU9" s="79"/>
      <c r="SV9" s="79"/>
      <c r="SW9" s="78"/>
      <c r="SX9" s="78"/>
      <c r="SY9" s="79"/>
      <c r="SZ9" s="79"/>
      <c r="TA9" s="79"/>
      <c r="TB9" s="79"/>
      <c r="TC9" s="79"/>
      <c r="TD9" s="78"/>
      <c r="TE9" s="78"/>
      <c r="TF9" s="79"/>
      <c r="TG9" s="79"/>
      <c r="TH9" s="79"/>
      <c r="TI9" s="79"/>
      <c r="TJ9" s="79"/>
      <c r="TK9" s="78"/>
      <c r="TL9" s="78"/>
      <c r="TM9" s="79"/>
      <c r="TN9" s="79"/>
      <c r="TO9" s="79"/>
      <c r="TP9" s="79"/>
      <c r="TQ9" s="79"/>
      <c r="TR9" s="78"/>
      <c r="TS9" s="78"/>
      <c r="TT9" s="79"/>
      <c r="TU9" s="79"/>
      <c r="TV9" s="79"/>
      <c r="TW9" s="79"/>
      <c r="TX9" s="79"/>
      <c r="TY9" s="78"/>
      <c r="TZ9" s="78"/>
      <c r="UA9" s="79"/>
      <c r="UB9" s="79"/>
      <c r="UC9" s="79"/>
      <c r="UD9" s="79"/>
      <c r="UE9" s="79"/>
      <c r="UF9" s="78"/>
      <c r="UG9" s="78"/>
      <c r="UH9" s="79"/>
      <c r="UI9" s="79"/>
      <c r="UJ9" s="79"/>
      <c r="UK9" s="79"/>
      <c r="UL9" s="79"/>
      <c r="UM9" s="78"/>
      <c r="UN9" s="78"/>
      <c r="UO9" s="79"/>
      <c r="UP9" s="79"/>
      <c r="UQ9" s="79"/>
      <c r="UR9" s="79"/>
      <c r="US9" s="79"/>
      <c r="UT9" s="78"/>
      <c r="UU9" s="78"/>
      <c r="UV9" s="79"/>
      <c r="UW9" s="79"/>
      <c r="UX9" s="79"/>
      <c r="UY9" s="79"/>
      <c r="UZ9" s="79"/>
      <c r="VA9" s="78"/>
      <c r="VB9" s="78"/>
      <c r="VC9" s="79"/>
      <c r="VD9" s="79"/>
      <c r="VE9" s="79"/>
      <c r="VF9" s="79"/>
      <c r="VG9" s="79"/>
      <c r="VH9" s="78"/>
      <c r="VI9" s="78"/>
      <c r="VJ9" s="79"/>
      <c r="VK9" s="79"/>
      <c r="VL9" s="79"/>
      <c r="VM9" s="79"/>
      <c r="VN9" s="79"/>
      <c r="VO9" s="78"/>
      <c r="VP9" s="78"/>
      <c r="VQ9" s="79"/>
      <c r="VR9" s="79"/>
      <c r="VS9" s="79"/>
      <c r="VT9" s="79"/>
      <c r="VU9" s="79"/>
      <c r="VV9" s="78"/>
      <c r="VW9" s="78"/>
      <c r="VX9" s="79"/>
      <c r="VY9" s="79"/>
      <c r="VZ9" s="79"/>
      <c r="WA9" s="79"/>
      <c r="WB9" s="79"/>
      <c r="WC9" s="78"/>
      <c r="WD9" s="78"/>
      <c r="WE9" s="79"/>
      <c r="WF9" s="79"/>
      <c r="WG9" s="79"/>
      <c r="WH9" s="79"/>
      <c r="WI9" s="79"/>
      <c r="WJ9" s="78"/>
      <c r="WK9" s="78"/>
      <c r="WL9" s="79"/>
      <c r="WM9" s="79"/>
      <c r="WN9" s="79"/>
      <c r="WO9" s="79"/>
      <c r="WP9" s="79"/>
      <c r="WQ9" s="78"/>
      <c r="WR9" s="78"/>
      <c r="WS9" s="79"/>
      <c r="WT9" s="79"/>
      <c r="WU9" s="79"/>
      <c r="WV9" s="79"/>
      <c r="WW9" s="79"/>
      <c r="WX9" s="78"/>
      <c r="WY9" s="78"/>
      <c r="WZ9" s="79"/>
      <c r="XA9" s="79"/>
      <c r="XB9" s="79"/>
      <c r="XC9" s="79"/>
      <c r="XD9" s="79"/>
      <c r="XE9" s="78"/>
      <c r="XF9" s="78"/>
      <c r="XG9" s="79"/>
      <c r="XH9" s="79"/>
      <c r="XI9" s="79"/>
      <c r="XJ9" s="79"/>
      <c r="XK9" s="79"/>
      <c r="XL9" s="78"/>
      <c r="XM9" s="78"/>
      <c r="XN9" s="79"/>
      <c r="XO9" s="79"/>
      <c r="XP9" s="79"/>
      <c r="XQ9" s="79"/>
      <c r="XR9" s="79"/>
      <c r="XS9" s="78"/>
      <c r="XT9" s="78"/>
      <c r="XU9" s="79"/>
      <c r="XV9" s="79"/>
      <c r="XW9" s="79"/>
      <c r="XX9" s="79"/>
      <c r="XY9" s="79"/>
      <c r="XZ9" s="78"/>
      <c r="YA9" s="78"/>
      <c r="YB9" s="79"/>
      <c r="YC9" s="79"/>
      <c r="YD9" s="79"/>
      <c r="YE9" s="79"/>
      <c r="YF9" s="79"/>
      <c r="YG9" s="78"/>
      <c r="YH9" s="78"/>
      <c r="YI9" s="79"/>
      <c r="YJ9" s="79"/>
      <c r="YK9" s="79"/>
      <c r="YL9" s="79"/>
      <c r="YM9" s="79"/>
      <c r="YN9" s="78"/>
      <c r="YO9" s="78"/>
      <c r="YP9" s="79"/>
      <c r="YQ9" s="79"/>
      <c r="YR9" s="79"/>
      <c r="YS9" s="79"/>
      <c r="YT9" s="79"/>
      <c r="YU9" s="78"/>
      <c r="YV9" s="78"/>
      <c r="YW9" s="79"/>
      <c r="YX9" s="79"/>
      <c r="YY9" s="79"/>
      <c r="YZ9" s="79"/>
      <c r="ZA9" s="79"/>
      <c r="ZB9" s="78"/>
      <c r="ZC9" s="78"/>
      <c r="ZD9" s="79"/>
      <c r="ZE9" s="79"/>
      <c r="ZF9" s="79"/>
      <c r="ZG9" s="79"/>
      <c r="ZH9" s="79"/>
      <c r="ZI9" s="78"/>
      <c r="ZJ9" s="78"/>
      <c r="ZK9" s="79"/>
      <c r="ZL9" s="79"/>
      <c r="ZM9" s="79"/>
      <c r="ZN9" s="79"/>
      <c r="ZO9" s="79"/>
      <c r="ZP9" s="78"/>
      <c r="ZQ9" s="78"/>
      <c r="ZR9" s="79"/>
      <c r="ZS9" s="79"/>
      <c r="ZT9" s="79"/>
      <c r="ZU9" s="79"/>
      <c r="ZV9" s="79"/>
      <c r="ZW9" s="78"/>
      <c r="ZX9" s="78"/>
      <c r="ZY9" s="79"/>
      <c r="ZZ9" s="79"/>
      <c r="AAA9" s="79"/>
      <c r="AAB9" s="79"/>
      <c r="AAC9" s="79"/>
      <c r="AAD9" s="78"/>
      <c r="AAE9" s="78"/>
      <c r="AAF9" s="79"/>
      <c r="AAG9" s="79"/>
      <c r="AAH9" s="79"/>
      <c r="AAI9" s="79"/>
      <c r="AAJ9" s="79"/>
      <c r="AAK9" s="78"/>
      <c r="AAL9" s="78"/>
      <c r="AAM9" s="79"/>
      <c r="AAN9" s="79"/>
      <c r="AAO9" s="79"/>
      <c r="AAP9" s="79"/>
      <c r="AAQ9" s="79"/>
      <c r="AAR9" s="78"/>
      <c r="AAS9" s="78"/>
      <c r="AAT9" s="79"/>
      <c r="AAU9" s="79"/>
      <c r="AAV9" s="79"/>
      <c r="AAW9" s="79"/>
      <c r="AAX9" s="79"/>
      <c r="AAY9" s="78"/>
      <c r="AAZ9" s="78"/>
      <c r="ABA9" s="79"/>
      <c r="ABB9" s="79"/>
      <c r="ABC9" s="79"/>
      <c r="ABD9" s="79"/>
      <c r="ABE9" s="79"/>
      <c r="ABF9" s="78"/>
      <c r="ABG9" s="78"/>
      <c r="ABH9" s="79"/>
      <c r="ABI9" s="79"/>
      <c r="ABJ9" s="79"/>
      <c r="ABK9" s="79"/>
      <c r="ABL9" s="79"/>
      <c r="ABM9" s="78"/>
      <c r="ABN9" s="78"/>
      <c r="ABO9" s="79"/>
      <c r="ABP9" s="79"/>
      <c r="ABQ9" s="79"/>
      <c r="ABR9" s="79"/>
      <c r="ABS9" s="79"/>
      <c r="ABT9" s="78"/>
      <c r="ABU9" s="78"/>
      <c r="ABV9" s="79"/>
      <c r="ABW9" s="79"/>
      <c r="ABX9" s="79"/>
      <c r="ABY9" s="79"/>
      <c r="ABZ9" s="79"/>
      <c r="ACA9" s="78"/>
      <c r="ACB9" s="78"/>
      <c r="ACC9" s="79"/>
      <c r="ACD9" s="79"/>
      <c r="ACE9" s="79"/>
      <c r="ACF9" s="79"/>
      <c r="ACG9" s="79"/>
      <c r="ACH9" s="78"/>
      <c r="ACI9" s="78"/>
      <c r="ACJ9" s="79"/>
      <c r="ACK9" s="79"/>
      <c r="ACL9" s="79"/>
      <c r="ACM9" s="79"/>
      <c r="ACN9" s="79"/>
      <c r="ACO9" s="78"/>
      <c r="ACP9" s="78"/>
      <c r="ACQ9" s="79"/>
      <c r="ACR9" s="79"/>
      <c r="ACS9" s="79"/>
      <c r="ACT9" s="79"/>
      <c r="ACU9" s="79"/>
      <c r="ACV9" s="78"/>
      <c r="ACW9" s="78"/>
      <c r="ACX9" s="79"/>
      <c r="ACY9" s="79"/>
      <c r="ACZ9" s="79"/>
      <c r="ADA9" s="79"/>
      <c r="ADB9" s="79"/>
      <c r="ADC9" s="78"/>
      <c r="ADD9" s="78"/>
      <c r="ADE9" s="79"/>
      <c r="ADF9" s="79"/>
      <c r="ADG9" s="79"/>
      <c r="ADH9" s="79"/>
      <c r="ADI9" s="79"/>
      <c r="ADJ9" s="78"/>
      <c r="ADK9" s="78"/>
      <c r="ADL9" s="79"/>
      <c r="ADM9" s="79"/>
      <c r="ADN9" s="79"/>
      <c r="ADO9" s="79"/>
      <c r="ADP9" s="79"/>
      <c r="ADQ9" s="78"/>
      <c r="ADR9" s="78"/>
      <c r="ADS9" s="79"/>
      <c r="ADT9" s="79"/>
      <c r="ADU9" s="79"/>
      <c r="ADV9" s="79"/>
      <c r="ADW9" s="79"/>
      <c r="ADX9" s="78"/>
      <c r="ADY9" s="78"/>
      <c r="ADZ9" s="79"/>
      <c r="AEA9" s="79"/>
      <c r="AEB9" s="79"/>
      <c r="AEC9" s="79"/>
      <c r="AED9" s="79"/>
      <c r="AEE9" s="78"/>
      <c r="AEF9" s="78"/>
      <c r="AEG9" s="79"/>
      <c r="AEH9" s="79"/>
      <c r="AEI9" s="79"/>
      <c r="AEJ9" s="79"/>
      <c r="AEK9" s="79"/>
      <c r="AEL9" s="78"/>
      <c r="AEM9" s="78"/>
      <c r="AEN9" s="79"/>
      <c r="AEO9" s="79"/>
      <c r="AEP9" s="79"/>
      <c r="AEQ9" s="79"/>
      <c r="AER9" s="79"/>
      <c r="AES9" s="78"/>
      <c r="AET9" s="78"/>
      <c r="AEU9" s="79"/>
      <c r="AEV9" s="79"/>
      <c r="AEW9" s="79"/>
      <c r="AEX9" s="79"/>
      <c r="AEY9" s="79"/>
      <c r="AEZ9" s="78"/>
      <c r="AFA9" s="78"/>
      <c r="AFB9" s="79"/>
      <c r="AFC9" s="79"/>
      <c r="AFD9" s="79"/>
      <c r="AFE9" s="79"/>
      <c r="AFF9" s="79"/>
      <c r="AFG9" s="78"/>
      <c r="AFH9" s="78"/>
      <c r="AFI9" s="79"/>
      <c r="AFJ9" s="79"/>
      <c r="AFK9" s="79"/>
      <c r="AFL9" s="79"/>
      <c r="AFM9" s="79"/>
      <c r="AFN9" s="78"/>
      <c r="AFO9" s="78"/>
      <c r="AFP9" s="79"/>
      <c r="AFQ9" s="79"/>
      <c r="AFR9" s="79"/>
      <c r="AFS9" s="79"/>
      <c r="AFT9" s="79"/>
      <c r="AFU9" s="78"/>
      <c r="AFV9" s="78"/>
      <c r="AFW9" s="79"/>
      <c r="AFX9" s="79"/>
      <c r="AFY9" s="79"/>
      <c r="AFZ9" s="79"/>
      <c r="AGA9" s="79"/>
      <c r="AGB9" s="78"/>
      <c r="AGC9" s="78"/>
      <c r="AGD9" s="79"/>
      <c r="AGE9" s="79"/>
      <c r="AGF9" s="79"/>
      <c r="AGG9" s="79"/>
      <c r="AGH9" s="79"/>
      <c r="AGI9" s="78"/>
      <c r="AGJ9" s="78"/>
      <c r="AGK9" s="79"/>
      <c r="AGL9" s="79"/>
      <c r="AGM9" s="79"/>
      <c r="AGN9" s="79"/>
      <c r="AGO9" s="79"/>
      <c r="AGP9" s="78"/>
      <c r="AGQ9" s="78"/>
      <c r="AGR9" s="79"/>
      <c r="AGS9" s="79"/>
      <c r="AGT9" s="79"/>
      <c r="AGU9" s="79"/>
      <c r="AGV9" s="79"/>
      <c r="AGW9" s="78"/>
      <c r="AGX9" s="78"/>
      <c r="AGY9" s="79"/>
      <c r="AGZ9" s="79"/>
      <c r="AHA9" s="79"/>
      <c r="AHB9" s="79"/>
      <c r="AHC9" s="79"/>
      <c r="AHD9" s="78"/>
      <c r="AHE9" s="78"/>
      <c r="AHF9" s="79"/>
      <c r="AHG9" s="79"/>
      <c r="AHH9" s="79"/>
      <c r="AHI9" s="79"/>
      <c r="AHJ9" s="79"/>
      <c r="AHK9" s="78"/>
      <c r="AHL9" s="78"/>
      <c r="AHM9" s="79"/>
      <c r="AHN9" s="79"/>
      <c r="AHO9" s="79"/>
      <c r="AHP9" s="79"/>
      <c r="AHQ9" s="79"/>
      <c r="AHR9" s="78"/>
      <c r="AHS9" s="78"/>
      <c r="AHT9" s="79"/>
      <c r="AHU9" s="79"/>
      <c r="AHV9" s="79"/>
      <c r="AHW9" s="79"/>
      <c r="AHX9" s="79"/>
      <c r="AHY9" s="78"/>
      <c r="AHZ9" s="78"/>
      <c r="AIA9" s="79"/>
      <c r="AIB9" s="79"/>
      <c r="AIC9" s="79"/>
      <c r="AID9" s="79"/>
      <c r="AIE9" s="79"/>
      <c r="AIF9" s="78"/>
      <c r="AIG9" s="78"/>
      <c r="AIH9" s="79"/>
      <c r="AII9" s="79"/>
      <c r="AIJ9" s="79"/>
      <c r="AIK9" s="79"/>
      <c r="AIL9" s="79"/>
      <c r="AIM9" s="78"/>
      <c r="AIN9" s="78"/>
      <c r="AIO9" s="79"/>
      <c r="AIP9" s="79"/>
      <c r="AIQ9" s="79"/>
      <c r="AIR9" s="79"/>
      <c r="AIS9" s="79"/>
      <c r="AIT9" s="78"/>
      <c r="AIU9" s="78"/>
      <c r="AIV9" s="79"/>
      <c r="AIW9" s="79"/>
      <c r="AIX9" s="79"/>
      <c r="AIY9" s="79"/>
      <c r="AIZ9" s="79"/>
      <c r="AJA9" s="78"/>
      <c r="AJB9" s="78"/>
      <c r="AJC9" s="79"/>
      <c r="AJD9" s="79"/>
      <c r="AJE9" s="79"/>
      <c r="AJF9" s="79"/>
      <c r="AJG9" s="79"/>
      <c r="AJH9" s="78"/>
      <c r="AJI9" s="78"/>
      <c r="AJJ9" s="79"/>
      <c r="AJK9" s="79"/>
      <c r="AJL9" s="79"/>
      <c r="AJM9" s="79"/>
      <c r="AJN9" s="79"/>
      <c r="AJO9" s="78"/>
      <c r="AJP9" s="78"/>
      <c r="AJQ9" s="79"/>
      <c r="AJR9" s="79"/>
      <c r="AJS9" s="79"/>
      <c r="AJT9" s="79"/>
      <c r="AJU9" s="79"/>
      <c r="AJV9" s="78"/>
      <c r="AJW9" s="78"/>
      <c r="AJX9" s="79"/>
      <c r="AJY9" s="79"/>
      <c r="AJZ9" s="79"/>
      <c r="AKA9" s="79"/>
      <c r="AKB9" s="79"/>
      <c r="AKC9" s="78"/>
      <c r="AKD9" s="78"/>
      <c r="AKE9" s="79"/>
      <c r="AKF9" s="79"/>
      <c r="AKG9" s="79"/>
      <c r="AKH9" s="79"/>
      <c r="AKI9" s="79"/>
      <c r="AKJ9" s="78"/>
      <c r="AKK9" s="78"/>
      <c r="AKL9" s="79"/>
      <c r="AKM9" s="79"/>
      <c r="AKN9" s="79"/>
      <c r="AKO9" s="79"/>
      <c r="AKP9" s="79"/>
      <c r="AKQ9" s="78"/>
      <c r="AKR9" s="78"/>
      <c r="AKS9" s="79"/>
      <c r="AKT9" s="79"/>
      <c r="AKU9" s="79"/>
      <c r="AKV9" s="79"/>
      <c r="AKW9" s="79"/>
      <c r="AKX9" s="78"/>
      <c r="AKY9" s="78"/>
      <c r="AKZ9" s="79"/>
      <c r="ALA9" s="79"/>
      <c r="ALB9" s="79"/>
      <c r="ALC9" s="79"/>
      <c r="ALD9" s="79"/>
      <c r="ALE9" s="78"/>
      <c r="ALF9" s="78"/>
      <c r="ALG9" s="79"/>
      <c r="ALH9" s="79"/>
      <c r="ALI9" s="79"/>
      <c r="ALJ9" s="79"/>
      <c r="ALK9" s="79"/>
      <c r="ALL9" s="78"/>
      <c r="ALM9" s="78"/>
      <c r="ALN9" s="79"/>
      <c r="ALO9" s="79"/>
      <c r="ALP9" s="79"/>
      <c r="ALQ9" s="79"/>
      <c r="ALR9" s="79"/>
      <c r="ALS9" s="78"/>
      <c r="ALT9" s="78"/>
      <c r="ALU9" s="79"/>
      <c r="ALV9" s="79"/>
      <c r="ALW9" s="79"/>
      <c r="ALX9" s="79"/>
      <c r="ALY9" s="79"/>
      <c r="ALZ9" s="78"/>
      <c r="AMA9" s="78"/>
      <c r="AMB9" s="79"/>
      <c r="AMC9" s="79"/>
      <c r="AMD9" s="79"/>
      <c r="AME9" s="79"/>
      <c r="AMF9" s="79"/>
      <c r="AMG9" s="78"/>
      <c r="AMH9" s="78"/>
      <c r="AMI9" s="79"/>
      <c r="AMJ9" s="79"/>
      <c r="AMK9" s="79"/>
      <c r="AML9" s="79"/>
      <c r="AMM9" s="79"/>
      <c r="AMN9" s="78"/>
      <c r="AMO9" s="78"/>
      <c r="AMP9" s="79"/>
      <c r="AMQ9" s="79"/>
      <c r="AMR9" s="79"/>
      <c r="AMS9" s="79"/>
      <c r="AMT9" s="79"/>
      <c r="AMU9" s="78"/>
      <c r="AMV9" s="78"/>
      <c r="AMW9" s="79"/>
      <c r="AMX9" s="79"/>
      <c r="AMY9" s="79"/>
      <c r="AMZ9" s="79"/>
      <c r="ANA9" s="79"/>
      <c r="ANB9" s="78"/>
      <c r="ANC9" s="78"/>
      <c r="AND9" s="79"/>
      <c r="ANE9" s="79"/>
      <c r="ANF9" s="79"/>
      <c r="ANG9" s="79"/>
      <c r="ANH9" s="79"/>
      <c r="ANI9" s="78"/>
      <c r="ANJ9" s="78"/>
      <c r="ANK9" s="79"/>
      <c r="ANL9" s="79"/>
      <c r="ANM9" s="79"/>
      <c r="ANN9" s="79"/>
      <c r="ANO9" s="79"/>
      <c r="ANP9" s="78"/>
      <c r="ANQ9" s="78"/>
      <c r="ANR9" s="79"/>
      <c r="ANS9" s="79"/>
      <c r="ANT9" s="79"/>
      <c r="ANU9" s="79"/>
      <c r="ANV9" s="79"/>
      <c r="ANW9" s="78"/>
      <c r="ANX9" s="78"/>
      <c r="ANY9" s="79"/>
      <c r="ANZ9" s="79"/>
      <c r="AOA9" s="79"/>
      <c r="AOB9" s="79"/>
      <c r="AOC9" s="79"/>
      <c r="AOD9" s="78"/>
      <c r="AOE9" s="78"/>
      <c r="AOF9" s="79"/>
      <c r="AOG9" s="79"/>
      <c r="AOH9" s="79"/>
      <c r="AOI9" s="79"/>
      <c r="AOJ9" s="79"/>
      <c r="AOK9" s="78"/>
      <c r="AOL9" s="78"/>
      <c r="AOM9" s="79"/>
      <c r="AON9" s="79"/>
      <c r="AOO9" s="79"/>
      <c r="AOP9" s="79"/>
      <c r="AOQ9" s="79"/>
      <c r="AOR9" s="78"/>
      <c r="AOS9" s="78"/>
      <c r="AOT9" s="79"/>
      <c r="AOU9" s="79"/>
      <c r="AOV9" s="79"/>
      <c r="AOW9" s="79"/>
      <c r="AOX9" s="79"/>
      <c r="AOY9" s="78"/>
      <c r="AOZ9" s="78"/>
      <c r="APA9" s="79"/>
      <c r="APB9" s="79"/>
      <c r="APC9" s="79"/>
      <c r="APD9" s="79"/>
      <c r="APE9" s="79"/>
      <c r="APF9" s="78"/>
      <c r="APG9" s="78"/>
      <c r="APH9" s="79"/>
      <c r="API9" s="79"/>
      <c r="APJ9" s="79"/>
      <c r="APK9" s="79"/>
      <c r="APL9" s="79"/>
      <c r="APM9" s="78"/>
      <c r="APN9" s="78"/>
      <c r="APO9" s="79"/>
      <c r="APP9" s="79"/>
      <c r="APQ9" s="79"/>
      <c r="APR9" s="79"/>
      <c r="APS9" s="79"/>
      <c r="APT9" s="78"/>
      <c r="APU9" s="78"/>
      <c r="APV9" s="79"/>
      <c r="APW9" s="79"/>
      <c r="APX9" s="79"/>
      <c r="APY9" s="79"/>
      <c r="APZ9" s="79"/>
      <c r="AQA9" s="78"/>
      <c r="AQB9" s="78"/>
      <c r="AQC9" s="79"/>
      <c r="AQD9" s="79"/>
      <c r="AQE9" s="79"/>
      <c r="AQF9" s="79"/>
      <c r="AQG9" s="79"/>
      <c r="AQH9" s="78"/>
      <c r="AQI9" s="78"/>
      <c r="AQJ9" s="79"/>
      <c r="AQK9" s="79"/>
      <c r="AQL9" s="79"/>
      <c r="AQM9" s="79"/>
      <c r="AQN9" s="79"/>
      <c r="AQO9" s="78"/>
      <c r="AQP9" s="78"/>
      <c r="AQQ9" s="79"/>
      <c r="AQR9" s="79"/>
      <c r="AQS9" s="79"/>
      <c r="AQT9" s="79"/>
      <c r="AQU9" s="79"/>
      <c r="AQV9" s="78"/>
      <c r="AQW9" s="78"/>
      <c r="AQX9" s="79"/>
      <c r="AQY9" s="79"/>
      <c r="AQZ9" s="79"/>
      <c r="ARA9" s="79"/>
      <c r="ARB9" s="79"/>
      <c r="ARC9" s="78"/>
      <c r="ARD9" s="78"/>
      <c r="ARE9" s="79"/>
      <c r="ARF9" s="79"/>
      <c r="ARG9" s="79"/>
      <c r="ARH9" s="79"/>
      <c r="ARI9" s="79"/>
      <c r="ARJ9" s="78"/>
      <c r="ARK9" s="78"/>
      <c r="ARL9" s="79"/>
      <c r="ARM9" s="79"/>
      <c r="ARN9" s="79"/>
      <c r="ARO9" s="79"/>
      <c r="ARP9" s="79"/>
      <c r="ARQ9" s="78"/>
      <c r="ARR9" s="78"/>
      <c r="ARS9" s="79"/>
      <c r="ART9" s="79"/>
      <c r="ARU9" s="79"/>
      <c r="ARV9" s="79"/>
      <c r="ARW9" s="79"/>
      <c r="ARX9" s="78"/>
      <c r="ARY9" s="78"/>
      <c r="ARZ9" s="79"/>
      <c r="ASA9" s="79"/>
      <c r="ASB9" s="79"/>
      <c r="ASC9" s="79"/>
      <c r="ASD9" s="79"/>
      <c r="ASE9" s="78"/>
      <c r="ASF9" s="78"/>
      <c r="ASG9" s="79"/>
      <c r="ASH9" s="79"/>
      <c r="ASI9" s="79"/>
      <c r="ASJ9" s="79"/>
      <c r="ASK9" s="79"/>
      <c r="ASL9" s="78"/>
      <c r="ASM9" s="78"/>
      <c r="ASN9" s="79"/>
      <c r="ASO9" s="79"/>
      <c r="ASP9" s="79"/>
      <c r="ASQ9" s="79"/>
      <c r="ASR9" s="79"/>
      <c r="ASS9" s="78"/>
      <c r="AST9" s="78"/>
      <c r="ASU9" s="79"/>
      <c r="ASV9" s="79"/>
      <c r="ASW9" s="79"/>
      <c r="ASX9" s="79"/>
      <c r="ASY9" s="79"/>
      <c r="ASZ9" s="78"/>
      <c r="ATA9" s="78"/>
      <c r="ATB9" s="79"/>
      <c r="ATC9" s="79"/>
      <c r="ATD9" s="79"/>
      <c r="ATE9" s="79"/>
      <c r="ATF9" s="79"/>
      <c r="ATG9" s="78"/>
      <c r="ATH9" s="78"/>
      <c r="ATI9" s="79"/>
      <c r="ATJ9" s="79"/>
      <c r="ATK9" s="79"/>
      <c r="ATL9" s="79"/>
      <c r="ATM9" s="79"/>
      <c r="ATN9" s="78"/>
      <c r="ATO9" s="78"/>
      <c r="ATP9" s="79"/>
      <c r="ATQ9" s="79"/>
      <c r="ATR9" s="79"/>
      <c r="ATS9" s="79"/>
      <c r="ATT9" s="79"/>
      <c r="ATU9" s="78"/>
      <c r="ATV9" s="78"/>
      <c r="ATW9" s="79"/>
      <c r="ATX9" s="79"/>
      <c r="ATY9" s="79"/>
      <c r="ATZ9" s="79"/>
      <c r="AUA9" s="79"/>
      <c r="AUB9" s="78"/>
      <c r="AUC9" s="78"/>
      <c r="AUD9" s="79"/>
      <c r="AUE9" s="79"/>
      <c r="AUF9" s="79"/>
      <c r="AUG9" s="79"/>
      <c r="AUH9" s="79"/>
      <c r="AUI9" s="78"/>
      <c r="AUJ9" s="78"/>
      <c r="AUK9" s="79"/>
      <c r="AUL9" s="79"/>
      <c r="AUM9" s="79"/>
      <c r="AUN9" s="79"/>
      <c r="AUO9" s="79"/>
      <c r="AUP9" s="78"/>
      <c r="AUQ9" s="78"/>
      <c r="AUR9" s="79"/>
      <c r="AUS9" s="79"/>
      <c r="AUT9" s="79"/>
      <c r="AUU9" s="79"/>
      <c r="AUV9" s="79"/>
      <c r="AUW9" s="78"/>
      <c r="AUX9" s="78"/>
      <c r="AUY9" s="79"/>
      <c r="AUZ9" s="79"/>
      <c r="AVA9" s="79"/>
      <c r="AVB9" s="79"/>
      <c r="AVC9" s="79"/>
      <c r="AVD9" s="78"/>
      <c r="AVE9" s="78"/>
      <c r="AVF9" s="79"/>
      <c r="AVG9" s="79"/>
      <c r="AVH9" s="79"/>
      <c r="AVI9" s="79"/>
      <c r="AVJ9" s="79"/>
      <c r="AVK9" s="78"/>
      <c r="AVL9" s="78"/>
      <c r="AVM9" s="79"/>
      <c r="AVN9" s="79"/>
      <c r="AVO9" s="79"/>
      <c r="AVP9" s="79"/>
      <c r="AVQ9" s="79"/>
      <c r="AVR9" s="78"/>
      <c r="AVS9" s="78"/>
      <c r="AVT9" s="79"/>
      <c r="AVU9" s="79"/>
      <c r="AVV9" s="79"/>
      <c r="AVW9" s="79"/>
      <c r="AVX9" s="79"/>
      <c r="AVY9" s="78"/>
      <c r="AVZ9" s="78"/>
      <c r="AWA9" s="79"/>
      <c r="AWB9" s="79"/>
      <c r="AWC9" s="79"/>
      <c r="AWD9" s="79"/>
      <c r="AWE9" s="79"/>
      <c r="AWF9" s="78"/>
      <c r="AWG9" s="78"/>
      <c r="AWH9" s="79"/>
      <c r="AWI9" s="79"/>
      <c r="AWJ9" s="79"/>
      <c r="AWK9" s="79"/>
      <c r="AWL9" s="79"/>
      <c r="AWM9" s="78"/>
      <c r="AWN9" s="78"/>
      <c r="AWO9" s="79"/>
      <c r="AWP9" s="79"/>
      <c r="AWQ9" s="79"/>
      <c r="AWR9" s="79"/>
      <c r="AWS9" s="79"/>
      <c r="AWT9" s="78"/>
      <c r="AWU9" s="78"/>
      <c r="AWV9" s="79"/>
      <c r="AWW9" s="79"/>
      <c r="AWX9" s="79"/>
      <c r="AWY9" s="79"/>
      <c r="AWZ9" s="79"/>
      <c r="AXA9" s="78"/>
      <c r="AXB9" s="78"/>
      <c r="AXC9" s="79"/>
      <c r="AXD9" s="79"/>
      <c r="AXE9" s="79"/>
      <c r="AXF9" s="79"/>
      <c r="AXG9" s="79"/>
      <c r="AXH9" s="78"/>
      <c r="AXI9" s="78"/>
      <c r="AXJ9" s="79"/>
      <c r="AXK9" s="79"/>
      <c r="AXL9" s="79"/>
      <c r="AXM9" s="79"/>
      <c r="AXN9" s="79"/>
      <c r="AXO9" s="78"/>
      <c r="AXP9" s="78"/>
      <c r="AXQ9" s="79"/>
      <c r="AXR9" s="79"/>
      <c r="AXS9" s="79"/>
      <c r="AXT9" s="79"/>
      <c r="AXU9" s="79"/>
      <c r="AXV9" s="78"/>
      <c r="AXW9" s="78"/>
      <c r="AXX9" s="79"/>
      <c r="AXY9" s="79"/>
      <c r="AXZ9" s="79"/>
      <c r="AYA9" s="79"/>
      <c r="AYB9" s="79"/>
      <c r="AYC9" s="78"/>
      <c r="AYD9" s="78"/>
      <c r="AYE9" s="79"/>
      <c r="AYF9" s="79"/>
      <c r="AYG9" s="79"/>
      <c r="AYH9" s="79"/>
      <c r="AYI9" s="79"/>
      <c r="AYJ9" s="78"/>
      <c r="AYK9" s="78"/>
      <c r="AYL9" s="79"/>
      <c r="AYM9" s="79"/>
      <c r="AYN9" s="79"/>
      <c r="AYO9" s="79"/>
      <c r="AYP9" s="79"/>
      <c r="AYQ9" s="78"/>
      <c r="AYR9" s="78"/>
      <c r="AYS9" s="79"/>
      <c r="AYT9" s="79"/>
      <c r="AYU9" s="79"/>
      <c r="AYV9" s="79"/>
      <c r="AYW9" s="79"/>
      <c r="AYX9" s="78"/>
      <c r="AYY9" s="78"/>
      <c r="AYZ9" s="79"/>
      <c r="AZA9" s="79"/>
      <c r="AZB9" s="79"/>
      <c r="AZC9" s="79"/>
      <c r="AZD9" s="79"/>
      <c r="AZE9" s="78"/>
      <c r="AZF9" s="78"/>
      <c r="AZG9" s="79"/>
      <c r="AZH9" s="79"/>
      <c r="AZI9" s="79"/>
      <c r="AZJ9" s="79"/>
      <c r="AZK9" s="79"/>
      <c r="AZL9" s="78"/>
      <c r="AZM9" s="78"/>
      <c r="AZN9" s="79"/>
      <c r="AZO9" s="79"/>
      <c r="AZP9" s="79"/>
      <c r="AZQ9" s="79"/>
      <c r="AZR9" s="79"/>
      <c r="AZS9" s="78"/>
      <c r="AZT9" s="78"/>
      <c r="AZU9" s="79"/>
      <c r="AZV9" s="79"/>
      <c r="AZW9" s="79"/>
      <c r="AZX9" s="79"/>
      <c r="AZY9" s="79"/>
      <c r="AZZ9" s="78"/>
      <c r="BAA9" s="78"/>
      <c r="BAB9" s="79"/>
      <c r="BAC9" s="79"/>
      <c r="BAD9" s="79"/>
      <c r="BAE9" s="79"/>
      <c r="BAF9" s="79"/>
      <c r="BAG9" s="78"/>
      <c r="BAH9" s="78"/>
      <c r="BAI9" s="79"/>
      <c r="BAJ9" s="79"/>
      <c r="BAK9" s="79"/>
      <c r="BAL9" s="79"/>
      <c r="BAM9" s="79"/>
      <c r="BAN9" s="78"/>
      <c r="BAO9" s="78"/>
      <c r="BAP9" s="79"/>
      <c r="BAQ9" s="79"/>
      <c r="BAR9" s="79"/>
      <c r="BAS9" s="79"/>
      <c r="BAT9" s="79"/>
      <c r="BAU9" s="78"/>
      <c r="BAV9" s="78"/>
      <c r="BAW9" s="79"/>
      <c r="BAX9" s="79"/>
      <c r="BAY9" s="79"/>
      <c r="BAZ9" s="79"/>
      <c r="BBA9" s="79"/>
      <c r="BBB9" s="78"/>
      <c r="BBC9" s="78"/>
      <c r="BBD9" s="79"/>
      <c r="BBE9" s="79"/>
      <c r="BBF9" s="79"/>
      <c r="BBG9" s="79"/>
      <c r="BBH9" s="79"/>
      <c r="BBI9" s="78"/>
      <c r="BBJ9" s="78"/>
      <c r="BBK9" s="79"/>
      <c r="BBL9" s="79"/>
      <c r="BBM9" s="79"/>
      <c r="BBN9" s="79"/>
      <c r="BBO9" s="79"/>
      <c r="BBP9" s="78"/>
      <c r="BBQ9" s="78"/>
      <c r="BBR9" s="79"/>
      <c r="BBS9" s="79"/>
      <c r="BBT9" s="79"/>
      <c r="BBU9" s="79"/>
      <c r="BBV9" s="79"/>
      <c r="BBW9" s="78"/>
      <c r="BBX9" s="78"/>
      <c r="BBY9" s="79"/>
      <c r="BBZ9" s="79"/>
      <c r="BCA9" s="79"/>
      <c r="BCB9" s="79"/>
      <c r="BCC9" s="79"/>
      <c r="BCD9" s="78"/>
      <c r="BCE9" s="78"/>
      <c r="BCF9" s="79"/>
      <c r="BCG9" s="79"/>
      <c r="BCH9" s="79"/>
      <c r="BCI9" s="79"/>
      <c r="BCJ9" s="79"/>
      <c r="BCK9" s="78"/>
      <c r="BCL9" s="78"/>
      <c r="BCM9" s="79"/>
      <c r="BCN9" s="79"/>
      <c r="BCO9" s="79"/>
      <c r="BCP9" s="79"/>
      <c r="BCQ9" s="79"/>
      <c r="BCR9" s="78"/>
      <c r="BCS9" s="78"/>
      <c r="BCT9" s="79"/>
      <c r="BCU9" s="79"/>
      <c r="BCV9" s="79"/>
      <c r="BCW9" s="79"/>
      <c r="BCX9" s="79"/>
      <c r="BCY9" s="78"/>
      <c r="BCZ9" s="78"/>
      <c r="BDA9" s="79"/>
      <c r="BDB9" s="79"/>
      <c r="BDC9" s="79"/>
      <c r="BDD9" s="79"/>
      <c r="BDE9" s="79"/>
      <c r="BDF9" s="78"/>
      <c r="BDG9" s="78"/>
      <c r="BDH9" s="79"/>
      <c r="BDI9" s="79"/>
      <c r="BDJ9" s="79"/>
      <c r="BDK9" s="79"/>
      <c r="BDL9" s="79"/>
      <c r="BDM9" s="78"/>
      <c r="BDN9" s="78"/>
      <c r="BDO9" s="79"/>
      <c r="BDP9" s="79"/>
      <c r="BDQ9" s="79"/>
      <c r="BDR9" s="79"/>
      <c r="BDS9" s="79"/>
      <c r="BDT9" s="78"/>
      <c r="BDU9" s="78"/>
      <c r="BDV9" s="79"/>
      <c r="BDW9" s="79"/>
      <c r="BDX9" s="79"/>
      <c r="BDY9" s="79"/>
      <c r="BDZ9" s="79"/>
      <c r="BEA9" s="78"/>
      <c r="BEB9" s="78"/>
      <c r="BEC9" s="79"/>
      <c r="BED9" s="79"/>
      <c r="BEE9" s="79"/>
      <c r="BEF9" s="79"/>
      <c r="BEG9" s="79"/>
      <c r="BEH9" s="78"/>
      <c r="BEI9" s="78"/>
      <c r="BEJ9" s="79"/>
      <c r="BEK9" s="79"/>
      <c r="BEL9" s="79"/>
      <c r="BEM9" s="79"/>
      <c r="BEN9" s="79"/>
      <c r="BEO9" s="78"/>
      <c r="BEP9" s="78"/>
      <c r="BEQ9" s="79"/>
      <c r="BER9" s="79"/>
      <c r="BES9" s="79"/>
      <c r="BET9" s="79"/>
      <c r="BEU9" s="79"/>
      <c r="BEV9" s="78"/>
      <c r="BEW9" s="78"/>
      <c r="BEX9" s="79"/>
      <c r="BEY9" s="79"/>
      <c r="BEZ9" s="79"/>
      <c r="BFA9" s="79"/>
      <c r="BFB9" s="79"/>
      <c r="BFC9" s="78"/>
      <c r="BFD9" s="78"/>
      <c r="BFE9" s="79"/>
      <c r="BFF9" s="79"/>
      <c r="BFG9" s="79"/>
      <c r="BFH9" s="79"/>
      <c r="BFI9" s="79"/>
      <c r="BFJ9" s="78"/>
      <c r="BFK9" s="78"/>
      <c r="BFL9" s="79"/>
      <c r="BFM9" s="79"/>
      <c r="BFN9" s="79"/>
      <c r="BFO9" s="79"/>
      <c r="BFP9" s="79"/>
      <c r="BFQ9" s="78"/>
      <c r="BFR9" s="78"/>
      <c r="BFS9" s="79"/>
      <c r="BFT9" s="79"/>
      <c r="BFU9" s="79"/>
      <c r="BFV9" s="79"/>
      <c r="BFW9" s="79"/>
      <c r="BFX9" s="78"/>
      <c r="BFY9" s="78"/>
      <c r="BFZ9" s="79"/>
      <c r="BGA9" s="79"/>
      <c r="BGB9" s="79"/>
      <c r="BGC9" s="79"/>
      <c r="BGD9" s="79"/>
      <c r="BGE9" s="78"/>
      <c r="BGF9" s="78"/>
      <c r="BGG9" s="79"/>
      <c r="BGH9" s="79"/>
      <c r="BGI9" s="79"/>
      <c r="BGJ9" s="79"/>
      <c r="BGK9" s="79"/>
      <c r="BGL9" s="78"/>
      <c r="BGM9" s="78"/>
      <c r="BGN9" s="79"/>
      <c r="BGO9" s="79"/>
      <c r="BGP9" s="79"/>
      <c r="BGQ9" s="79"/>
      <c r="BGR9" s="79"/>
      <c r="BGS9" s="78"/>
      <c r="BGT9" s="78"/>
      <c r="BGU9" s="79"/>
      <c r="BGV9" s="79"/>
      <c r="BGW9" s="79"/>
      <c r="BGX9" s="79"/>
      <c r="BGY9" s="79"/>
      <c r="BGZ9" s="78"/>
      <c r="BHA9" s="78"/>
      <c r="BHB9" s="79"/>
      <c r="BHC9" s="79"/>
      <c r="BHD9" s="79"/>
      <c r="BHE9" s="79"/>
      <c r="BHF9" s="79"/>
      <c r="BHG9" s="78"/>
      <c r="BHH9" s="78"/>
      <c r="BHI9" s="79"/>
      <c r="BHJ9" s="79"/>
      <c r="BHK9" s="79"/>
      <c r="BHL9" s="79"/>
      <c r="BHM9" s="79"/>
      <c r="BHN9" s="78"/>
      <c r="BHO9" s="78"/>
      <c r="BHP9" s="79"/>
      <c r="BHQ9" s="79"/>
      <c r="BHR9" s="79"/>
      <c r="BHS9" s="79"/>
      <c r="BHT9" s="79"/>
      <c r="BHU9" s="78"/>
      <c r="BHV9" s="78"/>
      <c r="BHW9" s="79"/>
      <c r="BHX9" s="79"/>
      <c r="BHY9" s="79"/>
      <c r="BHZ9" s="79"/>
      <c r="BIA9" s="79"/>
      <c r="BIB9" s="78"/>
      <c r="BIC9" s="78"/>
      <c r="BID9" s="79"/>
      <c r="BIE9" s="79"/>
      <c r="BIF9" s="79"/>
      <c r="BIG9" s="79"/>
      <c r="BIH9" s="79"/>
      <c r="BII9" s="78"/>
      <c r="BIJ9" s="78"/>
      <c r="BIK9" s="79"/>
      <c r="BIL9" s="79"/>
      <c r="BIM9" s="79"/>
      <c r="BIN9" s="79"/>
      <c r="BIO9" s="79"/>
      <c r="BIP9" s="78"/>
      <c r="BIQ9" s="78"/>
      <c r="BIR9" s="79"/>
      <c r="BIS9" s="79"/>
      <c r="BIT9" s="79"/>
      <c r="BIU9" s="79"/>
      <c r="BIV9" s="79"/>
      <c r="BIW9" s="78"/>
      <c r="BIX9" s="78"/>
      <c r="BIY9" s="79"/>
      <c r="BIZ9" s="79"/>
      <c r="BJA9" s="79"/>
      <c r="BJB9" s="79"/>
      <c r="BJC9" s="79"/>
      <c r="BJD9" s="78"/>
      <c r="BJE9" s="78"/>
      <c r="BJF9" s="79"/>
      <c r="BJG9" s="79"/>
      <c r="BJH9" s="79"/>
      <c r="BJI9" s="79"/>
      <c r="BJJ9" s="79"/>
      <c r="BJK9" s="78"/>
      <c r="BJL9" s="78"/>
      <c r="BJM9" s="79"/>
      <c r="BJN9" s="79"/>
      <c r="BJO9" s="79"/>
      <c r="BJP9" s="79"/>
      <c r="BJQ9" s="79"/>
      <c r="BJR9" s="78"/>
      <c r="BJS9" s="78"/>
      <c r="BJT9" s="79"/>
      <c r="BJU9" s="79"/>
      <c r="BJV9" s="79"/>
      <c r="BJW9" s="79"/>
      <c r="BJX9" s="79"/>
      <c r="BJY9" s="78"/>
      <c r="BJZ9" s="78"/>
      <c r="BKA9" s="79"/>
      <c r="BKB9" s="79"/>
      <c r="BKC9" s="79"/>
      <c r="BKD9" s="79"/>
      <c r="BKE9" s="79"/>
      <c r="BKF9" s="78"/>
      <c r="BKG9" s="78"/>
      <c r="BKH9" s="79"/>
      <c r="BKI9" s="79"/>
      <c r="BKJ9" s="79"/>
      <c r="BKK9" s="79"/>
      <c r="BKL9" s="79"/>
      <c r="BKM9" s="78"/>
      <c r="BKN9" s="78"/>
      <c r="BKO9" s="79"/>
      <c r="BKP9" s="79"/>
      <c r="BKQ9" s="79"/>
      <c r="BKR9" s="79"/>
      <c r="BKS9" s="79"/>
      <c r="BKT9" s="78"/>
      <c r="BKU9" s="78"/>
      <c r="BKV9" s="79"/>
      <c r="BKW9" s="79"/>
      <c r="BKX9" s="79"/>
      <c r="BKY9" s="79"/>
      <c r="BKZ9" s="79"/>
      <c r="BLA9" s="78"/>
      <c r="BLB9" s="78"/>
      <c r="BLC9" s="79"/>
      <c r="BLD9" s="79"/>
      <c r="BLE9" s="79"/>
      <c r="BLF9" s="79"/>
      <c r="BLG9" s="79"/>
      <c r="BLH9" s="78"/>
      <c r="BLI9" s="78"/>
      <c r="BLJ9" s="79"/>
      <c r="BLK9" s="79"/>
      <c r="BLL9" s="79"/>
      <c r="BLM9" s="79"/>
      <c r="BLN9" s="79"/>
      <c r="BLO9" s="78"/>
      <c r="BLP9" s="78"/>
      <c r="BLQ9" s="79"/>
      <c r="BLR9" s="79"/>
      <c r="BLS9" s="79"/>
      <c r="BLT9" s="79"/>
      <c r="BLU9" s="79"/>
      <c r="BLV9" s="78"/>
      <c r="BLW9" s="78"/>
      <c r="BLX9" s="79"/>
      <c r="BLY9" s="79"/>
      <c r="BLZ9" s="79"/>
      <c r="BMA9" s="79"/>
      <c r="BMB9" s="79"/>
      <c r="BMC9" s="78"/>
      <c r="BMD9" s="78"/>
      <c r="BME9" s="79"/>
      <c r="BMF9" s="79"/>
      <c r="BMG9" s="79"/>
      <c r="BMH9" s="79"/>
      <c r="BMI9" s="79"/>
      <c r="BMJ9" s="78"/>
      <c r="BMK9" s="78"/>
      <c r="BML9" s="79"/>
      <c r="BMM9" s="79"/>
      <c r="BMN9" s="79"/>
      <c r="BMO9" s="79"/>
      <c r="BMP9" s="79"/>
      <c r="BMQ9" s="78"/>
      <c r="BMR9" s="78"/>
      <c r="BMS9" s="79"/>
      <c r="BMT9" s="79"/>
      <c r="BMU9" s="79"/>
      <c r="BMV9" s="79"/>
      <c r="BMW9" s="79"/>
      <c r="BMX9" s="78"/>
      <c r="BMY9" s="78"/>
      <c r="BMZ9" s="79"/>
      <c r="BNA9" s="79"/>
      <c r="BNB9" s="79"/>
      <c r="BNC9" s="79"/>
      <c r="BND9" s="79"/>
      <c r="BNE9" s="78"/>
      <c r="BNF9" s="78"/>
      <c r="BNG9" s="79"/>
      <c r="BNH9" s="79"/>
      <c r="BNI9" s="79"/>
      <c r="BNJ9" s="79"/>
      <c r="BNK9" s="79"/>
      <c r="BNL9" s="78"/>
      <c r="BNM9" s="78"/>
      <c r="BNN9" s="79"/>
      <c r="BNO9" s="79"/>
      <c r="BNP9" s="79"/>
      <c r="BNQ9" s="79"/>
      <c r="BNR9" s="79"/>
      <c r="BNS9" s="78"/>
      <c r="BNT9" s="78"/>
      <c r="BNU9" s="79"/>
      <c r="BNV9" s="79"/>
      <c r="BNW9" s="79"/>
      <c r="BNX9" s="79"/>
      <c r="BNY9" s="79"/>
      <c r="BNZ9" s="78"/>
      <c r="BOA9" s="78"/>
      <c r="BOB9" s="79"/>
      <c r="BOC9" s="79"/>
      <c r="BOD9" s="79"/>
      <c r="BOE9" s="79"/>
      <c r="BOF9" s="79"/>
      <c r="BOG9" s="78"/>
      <c r="BOH9" s="78"/>
      <c r="BOI9" s="79"/>
      <c r="BOJ9" s="79"/>
      <c r="BOK9" s="79"/>
      <c r="BOL9" s="79"/>
      <c r="BOM9" s="79"/>
      <c r="BON9" s="78"/>
      <c r="BOO9" s="78"/>
      <c r="BOP9" s="79"/>
      <c r="BOQ9" s="79"/>
      <c r="BOR9" s="79"/>
      <c r="BOS9" s="79"/>
      <c r="BOT9" s="79"/>
      <c r="BOU9" s="78"/>
      <c r="BOV9" s="78"/>
      <c r="BOW9" s="79"/>
      <c r="BOX9" s="79"/>
      <c r="BOY9" s="79"/>
      <c r="BOZ9" s="79"/>
      <c r="BPA9" s="79"/>
      <c r="BPB9" s="78"/>
      <c r="BPC9" s="78"/>
      <c r="BPD9" s="79"/>
      <c r="BPE9" s="79"/>
      <c r="BPF9" s="79"/>
      <c r="BPG9" s="79"/>
      <c r="BPH9" s="79"/>
      <c r="BPI9" s="78"/>
      <c r="BPJ9" s="78"/>
      <c r="BPK9" s="79"/>
      <c r="BPL9" s="79"/>
      <c r="BPM9" s="79"/>
      <c r="BPN9" s="79"/>
      <c r="BPO9" s="79"/>
      <c r="BPP9" s="78"/>
      <c r="BPQ9" s="78"/>
      <c r="BPR9" s="79"/>
      <c r="BPS9" s="79"/>
      <c r="BPT9" s="79"/>
      <c r="BPU9" s="79"/>
      <c r="BPV9" s="79"/>
      <c r="BPW9" s="78"/>
      <c r="BPX9" s="78"/>
      <c r="BPY9" s="79"/>
      <c r="BPZ9" s="79"/>
      <c r="BQA9" s="79"/>
      <c r="BQB9" s="79"/>
      <c r="BQC9" s="79"/>
      <c r="BQD9" s="78"/>
      <c r="BQE9" s="78"/>
      <c r="BQF9" s="79"/>
      <c r="BQG9" s="79"/>
      <c r="BQH9" s="79"/>
      <c r="BQI9" s="79"/>
      <c r="BQJ9" s="79"/>
      <c r="BQK9" s="78"/>
      <c r="BQL9" s="78"/>
      <c r="BQM9" s="79"/>
      <c r="BQN9" s="79"/>
      <c r="BQO9" s="79"/>
      <c r="BQP9" s="79"/>
      <c r="BQQ9" s="79"/>
      <c r="BQR9" s="78"/>
      <c r="BQS9" s="78"/>
      <c r="BQT9" s="79"/>
      <c r="BQU9" s="79"/>
      <c r="BQV9" s="79"/>
      <c r="BQW9" s="79"/>
      <c r="BQX9" s="79"/>
      <c r="BQY9" s="78"/>
      <c r="BQZ9" s="78"/>
      <c r="BRA9" s="79"/>
      <c r="BRB9" s="79"/>
      <c r="BRC9" s="79"/>
      <c r="BRD9" s="79"/>
      <c r="BRE9" s="79"/>
      <c r="BRF9" s="78"/>
      <c r="BRG9" s="78"/>
      <c r="BRH9" s="79"/>
      <c r="BRI9" s="79"/>
      <c r="BRJ9" s="79"/>
      <c r="BRK9" s="79"/>
      <c r="BRL9" s="79"/>
      <c r="BRM9" s="78"/>
      <c r="BRN9" s="78"/>
      <c r="BRO9" s="79"/>
      <c r="BRP9" s="79"/>
      <c r="BRQ9" s="79"/>
      <c r="BRR9" s="79"/>
      <c r="BRS9" s="79"/>
      <c r="BRT9" s="78"/>
      <c r="BRU9" s="78"/>
      <c r="BRV9" s="79"/>
      <c r="BRW9" s="79"/>
      <c r="BRX9" s="79"/>
      <c r="BRY9" s="79"/>
      <c r="BRZ9" s="79"/>
      <c r="BSA9" s="78"/>
      <c r="BSB9" s="78"/>
      <c r="BSC9" s="79"/>
      <c r="BSD9" s="79"/>
      <c r="BSE9" s="79"/>
      <c r="BSF9" s="79"/>
      <c r="BSG9" s="79"/>
      <c r="BSH9" s="78"/>
      <c r="BSI9" s="78"/>
      <c r="BSJ9" s="79"/>
      <c r="BSK9" s="79"/>
      <c r="BSL9" s="79"/>
      <c r="BSM9" s="79"/>
      <c r="BSN9" s="79"/>
      <c r="BSO9" s="78"/>
      <c r="BSP9" s="78"/>
      <c r="BSQ9" s="79"/>
      <c r="BSR9" s="79"/>
      <c r="BSS9" s="79"/>
      <c r="BST9" s="79"/>
      <c r="BSU9" s="79"/>
      <c r="BSV9" s="78"/>
      <c r="BSW9" s="78"/>
      <c r="BSX9" s="79"/>
      <c r="BSY9" s="79"/>
      <c r="BSZ9" s="79"/>
      <c r="BTA9" s="79"/>
      <c r="BTB9" s="79"/>
      <c r="BTC9" s="78"/>
      <c r="BTD9" s="78"/>
      <c r="BTE9" s="79"/>
      <c r="BTF9" s="79"/>
      <c r="BTG9" s="79"/>
      <c r="BTH9" s="79"/>
      <c r="BTI9" s="79"/>
      <c r="BTJ9" s="78"/>
      <c r="BTK9" s="78"/>
      <c r="BTL9" s="79"/>
      <c r="BTM9" s="79"/>
      <c r="BTN9" s="79"/>
      <c r="BTO9" s="79"/>
      <c r="BTP9" s="79"/>
      <c r="BTQ9" s="78"/>
      <c r="BTR9" s="78"/>
      <c r="BTS9" s="79"/>
      <c r="BTT9" s="79"/>
      <c r="BTU9" s="79"/>
      <c r="BTV9" s="79"/>
      <c r="BTW9" s="79"/>
      <c r="BTX9" s="78"/>
      <c r="BTY9" s="78"/>
      <c r="BTZ9" s="79"/>
      <c r="BUA9" s="79"/>
      <c r="BUB9" s="79"/>
      <c r="BUC9" s="79"/>
      <c r="BUD9" s="79"/>
      <c r="BUE9" s="78"/>
      <c r="BUF9" s="78"/>
      <c r="BUG9" s="79"/>
      <c r="BUH9" s="79"/>
      <c r="BUI9" s="79"/>
      <c r="BUJ9" s="79"/>
      <c r="BUK9" s="79"/>
      <c r="BUL9" s="78"/>
      <c r="BUM9" s="78"/>
      <c r="BUN9" s="79"/>
      <c r="BUO9" s="79"/>
      <c r="BUP9" s="79"/>
      <c r="BUQ9" s="79"/>
      <c r="BUR9" s="79"/>
      <c r="BUS9" s="78"/>
      <c r="BUT9" s="78"/>
      <c r="BUU9" s="79"/>
      <c r="BUV9" s="79"/>
      <c r="BUW9" s="79"/>
      <c r="BUX9" s="79"/>
      <c r="BUY9" s="79"/>
      <c r="BUZ9" s="78"/>
      <c r="BVA9" s="78"/>
      <c r="BVB9" s="79"/>
      <c r="BVC9" s="79"/>
      <c r="BVD9" s="79"/>
      <c r="BVE9" s="79"/>
      <c r="BVF9" s="79"/>
      <c r="BVG9" s="78"/>
      <c r="BVH9" s="78"/>
      <c r="BVI9" s="79"/>
      <c r="BVJ9" s="79"/>
      <c r="BVK9" s="79"/>
      <c r="BVL9" s="79"/>
      <c r="BVM9" s="79"/>
      <c r="BVN9" s="78"/>
      <c r="BVO9" s="78"/>
      <c r="BVP9" s="79"/>
      <c r="BVQ9" s="79"/>
      <c r="BVR9" s="79"/>
      <c r="BVS9" s="79"/>
      <c r="BVT9" s="79"/>
      <c r="BVU9" s="78"/>
      <c r="BVV9" s="78"/>
      <c r="BVW9" s="79"/>
      <c r="BVX9" s="79"/>
      <c r="BVY9" s="79"/>
      <c r="BVZ9" s="79"/>
      <c r="BWA9" s="79"/>
      <c r="BWB9" s="78"/>
      <c r="BWC9" s="78"/>
      <c r="BWD9" s="79"/>
      <c r="BWE9" s="79"/>
      <c r="BWF9" s="79"/>
      <c r="BWG9" s="79"/>
      <c r="BWH9" s="79"/>
      <c r="BWI9" s="78"/>
      <c r="BWJ9" s="78"/>
      <c r="BWK9" s="79"/>
      <c r="BWL9" s="79"/>
      <c r="BWM9" s="79"/>
      <c r="BWN9" s="79"/>
      <c r="BWO9" s="79"/>
      <c r="BWP9" s="78"/>
      <c r="BWQ9" s="78"/>
      <c r="BWR9" s="79"/>
      <c r="BWS9" s="79"/>
      <c r="BWT9" s="79"/>
      <c r="BWU9" s="79"/>
      <c r="BWV9" s="79"/>
      <c r="BWW9" s="78"/>
      <c r="BWX9" s="78"/>
      <c r="BWY9" s="79"/>
      <c r="BWZ9" s="79"/>
      <c r="BXA9" s="79"/>
      <c r="BXB9" s="79"/>
      <c r="BXC9" s="79"/>
      <c r="BXD9" s="78"/>
      <c r="BXE9" s="78"/>
      <c r="BXF9" s="79"/>
      <c r="BXG9" s="79"/>
      <c r="BXH9" s="79"/>
      <c r="BXI9" s="79"/>
      <c r="BXJ9" s="79"/>
      <c r="BXK9" s="78"/>
      <c r="BXL9" s="78"/>
      <c r="BXM9" s="79"/>
      <c r="BXN9" s="79"/>
      <c r="BXO9" s="79"/>
      <c r="BXP9" s="79"/>
      <c r="BXQ9" s="79"/>
      <c r="BXR9" s="78"/>
      <c r="BXS9" s="78"/>
      <c r="BXT9" s="79"/>
      <c r="BXU9" s="79"/>
      <c r="BXV9" s="79"/>
      <c r="BXW9" s="79"/>
      <c r="BXX9" s="79"/>
      <c r="BXY9" s="78"/>
      <c r="BXZ9" s="78"/>
      <c r="BYA9" s="79"/>
      <c r="BYB9" s="79"/>
      <c r="BYC9" s="79"/>
      <c r="BYD9" s="79"/>
      <c r="BYE9" s="79"/>
      <c r="BYF9" s="78"/>
      <c r="BYG9" s="78"/>
      <c r="BYH9" s="79"/>
      <c r="BYI9" s="79"/>
      <c r="BYJ9" s="79"/>
      <c r="BYK9" s="79"/>
      <c r="BYL9" s="79"/>
      <c r="BYM9" s="78"/>
      <c r="BYN9" s="78"/>
      <c r="BYO9" s="79"/>
      <c r="BYP9" s="79"/>
      <c r="BYQ9" s="79"/>
      <c r="BYR9" s="79"/>
      <c r="BYS9" s="79"/>
      <c r="BYT9" s="78"/>
      <c r="BYU9" s="78"/>
      <c r="BYV9" s="79"/>
      <c r="BYW9" s="79"/>
      <c r="BYX9" s="79"/>
      <c r="BYY9" s="79"/>
      <c r="BYZ9" s="79"/>
      <c r="BZA9" s="78"/>
      <c r="BZB9" s="78"/>
      <c r="BZC9" s="79"/>
      <c r="BZD9" s="79"/>
      <c r="BZE9" s="79"/>
      <c r="BZF9" s="79"/>
      <c r="BZG9" s="79"/>
      <c r="BZH9" s="78"/>
      <c r="BZI9" s="78"/>
      <c r="BZJ9" s="79"/>
      <c r="BZK9" s="79"/>
      <c r="BZL9" s="79"/>
      <c r="BZM9" s="79"/>
      <c r="BZN9" s="79"/>
      <c r="BZO9" s="78"/>
      <c r="BZP9" s="78"/>
      <c r="BZQ9" s="79"/>
      <c r="BZR9" s="79"/>
      <c r="BZS9" s="79"/>
      <c r="BZT9" s="79"/>
      <c r="BZU9" s="79"/>
      <c r="BZV9" s="78"/>
      <c r="BZW9" s="78"/>
      <c r="BZX9" s="79"/>
      <c r="BZY9" s="79"/>
      <c r="BZZ9" s="79"/>
      <c r="CAA9" s="79"/>
      <c r="CAB9" s="79"/>
      <c r="CAC9" s="78"/>
      <c r="CAD9" s="78"/>
      <c r="CAE9" s="79"/>
      <c r="CAF9" s="79"/>
      <c r="CAG9" s="79"/>
      <c r="CAH9" s="79"/>
      <c r="CAI9" s="79"/>
      <c r="CAJ9" s="78"/>
      <c r="CAK9" s="78"/>
      <c r="CAL9" s="79"/>
      <c r="CAM9" s="79"/>
      <c r="CAN9" s="79"/>
      <c r="CAO9" s="79"/>
      <c r="CAP9" s="79"/>
      <c r="CAQ9" s="78"/>
      <c r="CAR9" s="78"/>
      <c r="CAS9" s="79"/>
      <c r="CAT9" s="79"/>
      <c r="CAU9" s="79"/>
      <c r="CAV9" s="79"/>
      <c r="CAW9" s="79"/>
      <c r="CAX9" s="78"/>
      <c r="CAY9" s="78"/>
      <c r="CAZ9" s="79"/>
      <c r="CBA9" s="79"/>
      <c r="CBB9" s="79"/>
      <c r="CBC9" s="79"/>
      <c r="CBD9" s="79"/>
      <c r="CBE9" s="78"/>
      <c r="CBF9" s="78"/>
      <c r="CBG9" s="79"/>
      <c r="CBH9" s="79"/>
      <c r="CBI9" s="79"/>
      <c r="CBJ9" s="79"/>
      <c r="CBK9" s="79"/>
      <c r="CBL9" s="78"/>
      <c r="CBM9" s="78"/>
      <c r="CBN9" s="79"/>
      <c r="CBO9" s="79"/>
      <c r="CBP9" s="79"/>
      <c r="CBQ9" s="79"/>
      <c r="CBR9" s="79"/>
      <c r="CBS9" s="78"/>
      <c r="CBT9" s="78"/>
      <c r="CBU9" s="79"/>
      <c r="CBV9" s="79"/>
      <c r="CBW9" s="79"/>
      <c r="CBX9" s="79"/>
      <c r="CBY9" s="79"/>
      <c r="CBZ9" s="78"/>
      <c r="CCA9" s="78"/>
      <c r="CCB9" s="79"/>
      <c r="CCC9" s="79"/>
      <c r="CCD9" s="79"/>
      <c r="CCE9" s="79"/>
      <c r="CCF9" s="79"/>
      <c r="CCG9" s="78"/>
      <c r="CCH9" s="78"/>
      <c r="CCI9" s="79"/>
      <c r="CCJ9" s="79"/>
      <c r="CCK9" s="79"/>
      <c r="CCL9" s="79"/>
      <c r="CCM9" s="79"/>
      <c r="CCN9" s="78"/>
      <c r="CCO9" s="78"/>
      <c r="CCP9" s="79"/>
      <c r="CCQ9" s="79"/>
      <c r="CCR9" s="79"/>
      <c r="CCS9" s="79"/>
      <c r="CCT9" s="79"/>
      <c r="CCU9" s="78"/>
      <c r="CCV9" s="78"/>
      <c r="VSR9" s="52"/>
      <c r="VSZ9" s="52"/>
    </row>
    <row r="10" spans="1:2129 15008:15068 15384:15392" customFormat="1" ht="15.95" customHeight="1" x14ac:dyDescent="0.25">
      <c r="A10" t="s">
        <v>62</v>
      </c>
      <c r="B10">
        <v>1</v>
      </c>
      <c r="G10" s="59">
        <v>1</v>
      </c>
      <c r="H10" s="74" t="s">
        <v>61</v>
      </c>
      <c r="I10" s="74"/>
      <c r="J10" s="192"/>
      <c r="K10" s="73"/>
      <c r="L10" s="72"/>
      <c r="M10" s="71"/>
      <c r="N10" s="72">
        <v>42393</v>
      </c>
      <c r="O10" s="72">
        <v>42394</v>
      </c>
      <c r="P10" s="71">
        <v>1</v>
      </c>
      <c r="Q10" s="181">
        <v>0</v>
      </c>
      <c r="R10" s="72"/>
      <c r="S10" s="72"/>
      <c r="T10" s="71"/>
      <c r="U10" s="190"/>
      <c r="V10" s="190"/>
      <c r="W10" s="190"/>
      <c r="X10" s="65"/>
      <c r="Y10" s="147"/>
      <c r="Z10" s="148"/>
      <c r="AA10" s="149"/>
      <c r="AB10" s="150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4"/>
      <c r="AN10" s="64"/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4"/>
      <c r="BR10" s="64"/>
      <c r="BS10" s="64"/>
      <c r="BT10" s="64"/>
      <c r="BU10" s="64"/>
      <c r="BV10" s="64"/>
      <c r="BW10" s="64"/>
      <c r="BX10" s="64"/>
      <c r="BY10" s="64"/>
      <c r="BZ10" s="64"/>
      <c r="CA10" s="64"/>
      <c r="CB10" s="64"/>
      <c r="CC10" s="64"/>
      <c r="CD10" s="64"/>
      <c r="CE10" s="64"/>
      <c r="CF10" s="64"/>
      <c r="MV10" s="76"/>
      <c r="VSR10" s="52"/>
      <c r="VSZ10" s="52"/>
    </row>
    <row r="11" spans="1:2129 15008:15068 15384:15392" ht="15.95" customHeight="1" x14ac:dyDescent="0.25">
      <c r="A11"/>
      <c r="B11"/>
      <c r="C11"/>
      <c r="D11"/>
      <c r="E11"/>
      <c r="F11"/>
      <c r="H11" s="75" t="s">
        <v>60</v>
      </c>
      <c r="I11" s="74"/>
      <c r="J11" s="192"/>
      <c r="K11" s="73"/>
      <c r="L11" s="72"/>
      <c r="M11" s="71"/>
      <c r="N11" s="72"/>
      <c r="O11" s="72"/>
      <c r="P11" s="71"/>
      <c r="Q11" s="181"/>
      <c r="R11" s="72"/>
      <c r="S11" s="72"/>
      <c r="T11" s="71"/>
      <c r="U11" s="190"/>
      <c r="V11" s="190"/>
      <c r="W11" s="190"/>
      <c r="X11" s="65"/>
      <c r="Y11" s="65"/>
      <c r="Z11" s="65"/>
      <c r="AA11" s="65"/>
      <c r="AB11" s="65"/>
      <c r="AC11" s="64"/>
      <c r="AD11" s="64"/>
      <c r="AE11" s="64"/>
      <c r="AF11" s="64"/>
      <c r="AG11" s="64"/>
      <c r="AH11" s="64"/>
      <c r="AI11" s="64"/>
      <c r="AJ11" s="64"/>
      <c r="AK11" s="64"/>
      <c r="AL11" s="64"/>
      <c r="AM11" s="64"/>
      <c r="AN11" s="64"/>
      <c r="AO11" s="64"/>
      <c r="AP11" s="64"/>
      <c r="AQ11" s="64"/>
      <c r="AR11" s="64"/>
      <c r="AS11" s="64"/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4"/>
      <c r="CB11" s="64"/>
      <c r="CC11" s="64"/>
      <c r="CD11" s="64"/>
      <c r="CE11" s="64"/>
      <c r="CF11" s="64"/>
    </row>
    <row r="12" spans="1:2129 15008:15068 15384:15392" ht="15.95" customHeight="1" x14ac:dyDescent="0.25">
      <c r="A12"/>
      <c r="B12"/>
      <c r="C12"/>
      <c r="D12"/>
      <c r="E12"/>
      <c r="F12"/>
      <c r="H12" s="74"/>
      <c r="I12" s="74"/>
      <c r="J12" s="192"/>
      <c r="K12" s="73"/>
      <c r="L12" s="72"/>
      <c r="M12" s="71"/>
      <c r="N12" s="72"/>
      <c r="O12" s="72"/>
      <c r="P12" s="71"/>
      <c r="Q12" s="182"/>
      <c r="R12" s="72"/>
      <c r="S12" s="72"/>
      <c r="T12" s="71"/>
      <c r="U12" s="190"/>
      <c r="V12" s="190"/>
      <c r="W12" s="190"/>
      <c r="X12" s="65"/>
      <c r="Y12" s="65"/>
      <c r="Z12" s="65"/>
      <c r="AA12" s="65"/>
      <c r="AB12" s="65"/>
      <c r="AC12" s="64"/>
      <c r="AD12" s="64"/>
      <c r="AE12" s="64"/>
      <c r="AF12" s="64"/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64"/>
      <c r="BX12" s="64"/>
      <c r="BY12" s="64"/>
      <c r="BZ12" s="64"/>
      <c r="CA12" s="64"/>
      <c r="CB12" s="64"/>
      <c r="CC12" s="64"/>
      <c r="CD12" s="64"/>
      <c r="CE12" s="64"/>
      <c r="CF12" s="64"/>
    </row>
    <row r="13" spans="1:2129 15008:15068 15384:15392" ht="15.95" customHeight="1" x14ac:dyDescent="0.25">
      <c r="A13"/>
      <c r="B13"/>
      <c r="C13"/>
      <c r="D13"/>
      <c r="E13"/>
      <c r="F13"/>
      <c r="H13" s="74"/>
      <c r="I13" s="74"/>
      <c r="J13" s="192"/>
      <c r="K13" s="73"/>
      <c r="L13" s="72"/>
      <c r="M13" s="71"/>
      <c r="N13" s="72"/>
      <c r="O13" s="72"/>
      <c r="P13" s="71"/>
      <c r="Q13" s="181"/>
      <c r="R13" s="72"/>
      <c r="S13" s="72"/>
      <c r="T13" s="71"/>
      <c r="U13" s="190"/>
      <c r="V13" s="190"/>
      <c r="W13" s="190"/>
      <c r="X13" s="65"/>
      <c r="Y13" s="65"/>
      <c r="Z13" s="65"/>
      <c r="AA13" s="65"/>
      <c r="AB13" s="65"/>
      <c r="AC13" s="64"/>
      <c r="AD13" s="64"/>
      <c r="AE13" s="64"/>
      <c r="AF13" s="64"/>
      <c r="AG13" s="64"/>
      <c r="AH13" s="64"/>
      <c r="AI13" s="64"/>
      <c r="AJ13" s="64"/>
      <c r="AK13" s="64"/>
      <c r="AL13" s="64"/>
      <c r="AM13" s="64"/>
      <c r="AN13" s="64"/>
      <c r="AO13" s="64"/>
      <c r="AP13" s="64"/>
      <c r="AQ13" s="64"/>
      <c r="AR13" s="64"/>
      <c r="AS13" s="64"/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64"/>
      <c r="BO13" s="64"/>
      <c r="BP13" s="64"/>
      <c r="BQ13" s="64"/>
      <c r="BR13" s="64"/>
      <c r="BS13" s="64"/>
      <c r="BT13" s="64"/>
      <c r="BU13" s="64"/>
      <c r="BV13" s="64"/>
      <c r="BW13" s="64"/>
      <c r="BX13" s="64"/>
      <c r="BY13" s="64"/>
      <c r="BZ13" s="64"/>
      <c r="CA13" s="64"/>
      <c r="CB13" s="64"/>
      <c r="CC13" s="64"/>
      <c r="CD13" s="64"/>
      <c r="CE13" s="64"/>
      <c r="CF13" s="64"/>
    </row>
    <row r="14" spans="1:2129 15008:15068 15384:15392" ht="15.95" customHeight="1" x14ac:dyDescent="0.2">
      <c r="A14" s="70"/>
      <c r="B14" s="70"/>
      <c r="C14" s="70"/>
      <c r="D14" s="70"/>
      <c r="E14" s="70"/>
      <c r="F14" s="70"/>
      <c r="H14" s="62"/>
      <c r="I14" s="69"/>
      <c r="J14" s="193"/>
      <c r="K14" s="68"/>
      <c r="L14" s="67"/>
      <c r="M14" s="66"/>
      <c r="N14" s="174"/>
      <c r="O14" s="174"/>
      <c r="P14" s="71"/>
      <c r="Q14" s="181"/>
      <c r="R14" s="67"/>
      <c r="S14" s="67"/>
      <c r="T14" s="66"/>
      <c r="U14" s="190"/>
      <c r="V14" s="190"/>
      <c r="W14" s="190"/>
      <c r="X14" s="65"/>
      <c r="Y14" s="65"/>
      <c r="Z14" s="65"/>
      <c r="AA14" s="65"/>
      <c r="AB14" s="65"/>
      <c r="AC14" s="64"/>
      <c r="AD14" s="64"/>
      <c r="AE14" s="64"/>
      <c r="AF14" s="64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64"/>
      <c r="BX14" s="64"/>
      <c r="BY14" s="64"/>
      <c r="BZ14" s="64"/>
      <c r="CA14" s="64"/>
      <c r="CB14" s="64"/>
      <c r="CC14" s="64"/>
      <c r="CD14" s="64"/>
      <c r="CE14" s="64"/>
      <c r="CF14" s="64"/>
    </row>
    <row r="15" spans="1:2129 15008:15068 15384:15392" ht="15.95" customHeight="1" x14ac:dyDescent="0.2">
      <c r="H15" s="62"/>
    </row>
    <row r="16" spans="1:2129 15008:15068 15384:15392" ht="15.95" customHeight="1" x14ac:dyDescent="0.2">
      <c r="H16" s="62"/>
      <c r="AE16" s="63"/>
    </row>
    <row r="17" spans="1:85" ht="15.95" customHeight="1" x14ac:dyDescent="0.2">
      <c r="H17" s="62"/>
    </row>
    <row r="18" spans="1:85" s="60" customFormat="1" ht="15.95" customHeight="1" x14ac:dyDescent="0.2">
      <c r="A18" s="52"/>
      <c r="B18" s="52"/>
      <c r="C18" s="52"/>
      <c r="D18" s="52"/>
      <c r="E18" s="52"/>
      <c r="F18" s="52"/>
      <c r="G18" s="59"/>
      <c r="H18" s="62"/>
      <c r="I18" s="58"/>
      <c r="J18" s="194"/>
      <c r="K18" s="57"/>
      <c r="L18" s="57"/>
      <c r="M18" s="56"/>
      <c r="N18" s="175"/>
      <c r="O18" s="175"/>
      <c r="P18" s="188"/>
      <c r="Q18" s="183"/>
      <c r="R18" s="57"/>
      <c r="S18" s="57"/>
      <c r="T18" s="56"/>
      <c r="U18" s="191"/>
      <c r="V18" s="191"/>
      <c r="W18" s="191"/>
      <c r="X18" s="55"/>
      <c r="Y18" s="55"/>
      <c r="Z18" s="55"/>
      <c r="AA18" s="55"/>
      <c r="AB18" s="55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3"/>
    </row>
    <row r="19" spans="1:85" s="60" customFormat="1" ht="15.95" customHeight="1" x14ac:dyDescent="0.2">
      <c r="A19" s="52"/>
      <c r="B19" s="52"/>
      <c r="C19" s="52"/>
      <c r="D19" s="52"/>
      <c r="E19" s="52"/>
      <c r="F19" s="52"/>
      <c r="G19" s="59"/>
      <c r="H19" s="62"/>
      <c r="I19" s="58"/>
      <c r="J19" s="194"/>
      <c r="K19" s="57"/>
      <c r="L19" s="57"/>
      <c r="M19" s="56"/>
      <c r="N19" s="175"/>
      <c r="O19" s="175"/>
      <c r="P19" s="188"/>
      <c r="Q19" s="183"/>
      <c r="R19" s="57"/>
      <c r="S19" s="57"/>
      <c r="T19" s="56"/>
      <c r="U19" s="191"/>
      <c r="V19" s="191"/>
      <c r="W19" s="191"/>
      <c r="X19" s="55"/>
      <c r="Y19" s="55"/>
      <c r="Z19" s="55"/>
      <c r="AA19" s="55"/>
      <c r="AB19" s="55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3"/>
    </row>
    <row r="20" spans="1:85" s="60" customFormat="1" ht="15.95" customHeight="1" x14ac:dyDescent="0.2">
      <c r="A20" s="52"/>
      <c r="B20" s="52"/>
      <c r="C20" s="52"/>
      <c r="D20" s="52"/>
      <c r="E20" s="52"/>
      <c r="F20" s="52"/>
      <c r="G20" s="59"/>
      <c r="H20" s="62"/>
      <c r="I20" s="58"/>
      <c r="J20" s="194"/>
      <c r="K20" s="57"/>
      <c r="L20" s="57"/>
      <c r="M20" s="56"/>
      <c r="N20" s="175"/>
      <c r="O20" s="175"/>
      <c r="P20" s="188"/>
      <c r="Q20" s="183"/>
      <c r="R20" s="57"/>
      <c r="S20" s="57"/>
      <c r="T20" s="56"/>
      <c r="U20" s="191"/>
      <c r="V20" s="191"/>
      <c r="W20" s="191"/>
      <c r="X20" s="55"/>
      <c r="Y20" s="55"/>
      <c r="Z20" s="55"/>
      <c r="AA20" s="55"/>
      <c r="AB20" s="55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3"/>
    </row>
    <row r="21" spans="1:85" s="60" customFormat="1" ht="15.95" customHeight="1" x14ac:dyDescent="0.2">
      <c r="A21" s="52"/>
      <c r="B21" s="52"/>
      <c r="C21" s="52"/>
      <c r="D21" s="52"/>
      <c r="E21" s="52"/>
      <c r="F21" s="52"/>
      <c r="G21" s="59"/>
      <c r="H21" s="62"/>
      <c r="I21" s="58"/>
      <c r="J21" s="194"/>
      <c r="K21" s="57"/>
      <c r="L21" s="57"/>
      <c r="M21" s="56"/>
      <c r="N21" s="175"/>
      <c r="O21" s="175"/>
      <c r="P21" s="188"/>
      <c r="Q21" s="183"/>
      <c r="R21" s="57"/>
      <c r="S21" s="57"/>
      <c r="T21" s="56"/>
      <c r="U21" s="191"/>
      <c r="V21" s="191"/>
      <c r="W21" s="191"/>
      <c r="X21" s="55"/>
      <c r="Y21" s="55"/>
      <c r="Z21" s="55"/>
      <c r="AA21" s="55"/>
      <c r="AB21" s="55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/>
      <c r="BB21" s="54"/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3"/>
    </row>
    <row r="22" spans="1:85" s="60" customFormat="1" ht="15.95" customHeight="1" x14ac:dyDescent="0.2">
      <c r="A22" s="52"/>
      <c r="B22" s="52"/>
      <c r="C22" s="52"/>
      <c r="D22" s="52"/>
      <c r="E22" s="52"/>
      <c r="F22" s="52"/>
      <c r="G22" s="59"/>
      <c r="H22" s="62"/>
      <c r="I22" s="58"/>
      <c r="J22" s="194"/>
      <c r="K22" s="57"/>
      <c r="L22" s="57"/>
      <c r="M22" s="56"/>
      <c r="N22" s="175"/>
      <c r="O22" s="175"/>
      <c r="P22" s="188"/>
      <c r="Q22" s="183"/>
      <c r="R22" s="57"/>
      <c r="S22" s="57"/>
      <c r="T22" s="56"/>
      <c r="U22" s="191"/>
      <c r="V22" s="191"/>
      <c r="W22" s="191"/>
      <c r="X22" s="55"/>
      <c r="Y22" s="55"/>
      <c r="Z22" s="55"/>
      <c r="AA22" s="55"/>
      <c r="AB22" s="55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/>
      <c r="BB22" s="54"/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3"/>
    </row>
    <row r="23" spans="1:85" s="60" customFormat="1" ht="15.95" customHeight="1" x14ac:dyDescent="0.2">
      <c r="A23" s="52"/>
      <c r="B23" s="52"/>
      <c r="C23" s="52"/>
      <c r="D23" s="52"/>
      <c r="E23" s="52"/>
      <c r="F23" s="52"/>
      <c r="G23" s="59"/>
      <c r="H23" s="62"/>
      <c r="I23" s="58"/>
      <c r="J23" s="194"/>
      <c r="K23" s="57"/>
      <c r="L23" s="57"/>
      <c r="M23" s="56"/>
      <c r="N23" s="175"/>
      <c r="O23" s="175"/>
      <c r="P23" s="188"/>
      <c r="Q23" s="183"/>
      <c r="R23" s="57"/>
      <c r="S23" s="57"/>
      <c r="T23" s="56"/>
      <c r="U23" s="191"/>
      <c r="V23" s="191"/>
      <c r="W23" s="191"/>
      <c r="X23" s="55"/>
      <c r="Y23" s="55"/>
      <c r="Z23" s="55"/>
      <c r="AA23" s="55"/>
      <c r="AB23" s="55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/>
      <c r="BB23" s="54"/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3"/>
    </row>
    <row r="24" spans="1:85" s="60" customFormat="1" ht="15.95" customHeight="1" x14ac:dyDescent="0.2">
      <c r="A24" s="52"/>
      <c r="B24" s="52"/>
      <c r="C24" s="52"/>
      <c r="D24" s="52"/>
      <c r="E24" s="52"/>
      <c r="F24" s="52"/>
      <c r="G24" s="59"/>
      <c r="H24" s="62"/>
      <c r="I24" s="58"/>
      <c r="J24" s="194"/>
      <c r="K24" s="57"/>
      <c r="L24" s="57"/>
      <c r="M24" s="56"/>
      <c r="N24" s="175"/>
      <c r="O24" s="175"/>
      <c r="P24" s="188"/>
      <c r="Q24" s="183"/>
      <c r="R24" s="57"/>
      <c r="S24" s="57"/>
      <c r="T24" s="56"/>
      <c r="U24" s="191"/>
      <c r="V24" s="191"/>
      <c r="W24" s="191"/>
      <c r="X24" s="55"/>
      <c r="Y24" s="55"/>
      <c r="Z24" s="55"/>
      <c r="AA24" s="55"/>
      <c r="AB24" s="55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/>
      <c r="BB24" s="54"/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3"/>
    </row>
    <row r="25" spans="1:85" ht="15.95" customHeight="1" x14ac:dyDescent="0.2">
      <c r="H25" s="61"/>
    </row>
    <row r="28" spans="1:85" ht="15.95" customHeight="1" x14ac:dyDescent="0.2">
      <c r="A28" s="60"/>
      <c r="B28" s="60"/>
      <c r="C28" s="60"/>
      <c r="D28" s="60"/>
      <c r="E28" s="60"/>
      <c r="F28" s="60"/>
    </row>
    <row r="29" spans="1:85" ht="15.95" customHeight="1" x14ac:dyDescent="0.2">
      <c r="A29" s="60"/>
      <c r="B29" s="60"/>
      <c r="C29" s="60"/>
      <c r="D29" s="60"/>
      <c r="E29" s="60"/>
      <c r="F29" s="60"/>
    </row>
    <row r="30" spans="1:85" ht="15.95" customHeight="1" x14ac:dyDescent="0.2">
      <c r="A30" s="60"/>
      <c r="B30" s="60"/>
      <c r="C30" s="60"/>
      <c r="D30" s="60"/>
      <c r="E30" s="60"/>
      <c r="F30" s="60"/>
    </row>
    <row r="31" spans="1:85" ht="15.95" customHeight="1" x14ac:dyDescent="0.2">
      <c r="A31" s="60"/>
      <c r="B31" s="60"/>
      <c r="C31" s="60"/>
      <c r="D31" s="60"/>
      <c r="E31" s="60"/>
      <c r="F31" s="60"/>
    </row>
    <row r="32" spans="1:85" ht="15.95" customHeight="1" x14ac:dyDescent="0.2">
      <c r="A32" s="60"/>
      <c r="B32" s="60"/>
      <c r="C32" s="60"/>
      <c r="D32" s="60"/>
      <c r="E32" s="60"/>
      <c r="F32" s="60"/>
    </row>
    <row r="33" spans="1:6" ht="15.95" customHeight="1" x14ac:dyDescent="0.2">
      <c r="A33" s="60"/>
      <c r="B33" s="60"/>
      <c r="C33" s="60"/>
      <c r="D33" s="60"/>
      <c r="E33" s="60"/>
      <c r="F33" s="60"/>
    </row>
    <row r="34" spans="1:6" ht="15.95" customHeight="1" x14ac:dyDescent="0.2">
      <c r="A34" s="60"/>
      <c r="B34" s="60"/>
      <c r="C34" s="60"/>
      <c r="D34" s="60"/>
      <c r="E34" s="60"/>
      <c r="F34" s="60"/>
    </row>
  </sheetData>
  <sheetProtection password="9EFC" sheet="1" objects="1" scenarios="1" formatCells="0" formatColumns="0" formatRows="0" insertHyperlinks="0"/>
  <pageMargins left="0.25" right="0.25" top="0.5" bottom="0.5" header="0.5" footer="0.25"/>
  <pageSetup paperSize="8" scale="79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Scroll_Calendar">
              <controlPr defaultSize="0" print="0" autoPict="0" macro="[0]!Scroll_Calendar_Change">
                <anchor moveWithCells="1">
                  <from>
                    <xdr:col>28</xdr:col>
                    <xdr:colOff>28575</xdr:colOff>
                    <xdr:row>5</xdr:row>
                    <xdr:rowOff>28575</xdr:rowOff>
                  </from>
                  <to>
                    <xdr:col>32</xdr:col>
                    <xdr:colOff>28575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XFC34"/>
  <sheetViews>
    <sheetView showGridLines="0" showRowColHeaders="0" tabSelected="1" topLeftCell="G6" zoomScaleNormal="100" workbookViewId="0">
      <selection activeCell="H11" sqref="H11"/>
    </sheetView>
  </sheetViews>
  <sheetFormatPr defaultColWidth="0" defaultRowHeight="15.95" customHeight="1" x14ac:dyDescent="0.2"/>
  <cols>
    <col min="1" max="1" width="5.28515625" style="52" hidden="1" customWidth="1"/>
    <col min="2" max="2" width="3.140625" style="52" hidden="1" customWidth="1"/>
    <col min="3" max="3" width="11.42578125" style="52" hidden="1" customWidth="1"/>
    <col min="4" max="4" width="11" style="52" hidden="1" customWidth="1"/>
    <col min="5" max="5" width="13" style="52" hidden="1" customWidth="1"/>
    <col min="6" max="6" width="12.28515625" style="52" hidden="1" customWidth="1"/>
    <col min="7" max="7" width="4.140625" style="59" customWidth="1"/>
    <col min="8" max="8" width="40.42578125" style="58" customWidth="1"/>
    <col min="9" max="9" width="17.28515625" style="58" customWidth="1"/>
    <col min="10" max="10" width="10.85546875" style="194" hidden="1" customWidth="1"/>
    <col min="11" max="12" width="14.7109375" style="57" hidden="1" customWidth="1"/>
    <col min="13" max="13" width="10.42578125" style="56" hidden="1" customWidth="1"/>
    <col min="14" max="15" width="14.7109375" style="175" customWidth="1"/>
    <col min="16" max="16" width="8.85546875" style="188" customWidth="1"/>
    <col min="17" max="17" width="8.7109375" style="183" customWidth="1"/>
    <col min="18" max="19" width="14.7109375" style="57" hidden="1" customWidth="1"/>
    <col min="20" max="20" width="8.5703125" style="56" hidden="1" customWidth="1"/>
    <col min="21" max="23" width="7" style="191" hidden="1" customWidth="1"/>
    <col min="24" max="24" width="14.42578125" style="55" hidden="1" customWidth="1"/>
    <col min="25" max="25" width="7.42578125" style="55" hidden="1" customWidth="1"/>
    <col min="26" max="26" width="6.28515625" style="55" hidden="1" customWidth="1"/>
    <col min="27" max="27" width="6.85546875" style="55" hidden="1" customWidth="1"/>
    <col min="28" max="28" width="6" style="55" hidden="1" customWidth="1"/>
    <col min="29" max="84" width="2.5703125" style="54" customWidth="1"/>
    <col min="85" max="85" width="5.28515625" style="53" hidden="1"/>
    <col min="86" max="16383" width="5.28515625" style="52" hidden="1"/>
    <col min="16384" max="16384" width="0" style="52" hidden="1"/>
  </cols>
  <sheetData>
    <row r="1" spans="1:2129 15008:15068 15384:15392" ht="15" hidden="1" x14ac:dyDescent="0.25">
      <c r="A1" s="52" t="s">
        <v>28</v>
      </c>
      <c r="B1" s="52" t="s">
        <v>87</v>
      </c>
      <c r="C1" t="s">
        <v>86</v>
      </c>
      <c r="D1" s="52" t="s">
        <v>85</v>
      </c>
      <c r="E1" s="52" t="s">
        <v>84</v>
      </c>
      <c r="F1" s="52" t="s">
        <v>83</v>
      </c>
      <c r="G1" s="112" t="s">
        <v>55</v>
      </c>
      <c r="H1" s="111" t="s">
        <v>54</v>
      </c>
      <c r="I1" s="110" t="s">
        <v>53</v>
      </c>
      <c r="J1" s="108" t="s">
        <v>52</v>
      </c>
      <c r="K1" s="110" t="s">
        <v>51</v>
      </c>
      <c r="L1" s="109" t="s">
        <v>50</v>
      </c>
      <c r="M1" s="108" t="s">
        <v>49</v>
      </c>
      <c r="N1" s="171" t="s">
        <v>48</v>
      </c>
      <c r="O1" s="171" t="s">
        <v>46</v>
      </c>
      <c r="P1" s="184" t="s">
        <v>44</v>
      </c>
      <c r="Q1" s="176" t="s">
        <v>43</v>
      </c>
      <c r="R1" s="109" t="s">
        <v>47</v>
      </c>
      <c r="S1" s="109" t="s">
        <v>45</v>
      </c>
      <c r="T1" s="108" t="s">
        <v>42</v>
      </c>
      <c r="U1" s="198" t="s">
        <v>41</v>
      </c>
      <c r="V1" s="198" t="s">
        <v>40</v>
      </c>
      <c r="W1" s="198" t="s">
        <v>39</v>
      </c>
      <c r="X1" s="107" t="s">
        <v>38</v>
      </c>
      <c r="Y1" s="40" t="s">
        <v>156</v>
      </c>
      <c r="Z1" s="40" t="s">
        <v>155</v>
      </c>
      <c r="AA1" s="40" t="s">
        <v>183</v>
      </c>
      <c r="AB1" s="40" t="s">
        <v>184</v>
      </c>
      <c r="AC1" s="54" t="s">
        <v>154</v>
      </c>
      <c r="CF1" s="54" t="s">
        <v>153</v>
      </c>
      <c r="CCW1" s="52" t="s">
        <v>152</v>
      </c>
      <c r="VEF1" s="52" t="s">
        <v>151</v>
      </c>
      <c r="VEG1" s="52" t="s">
        <v>14</v>
      </c>
      <c r="VEH1" s="52" t="s">
        <v>16</v>
      </c>
      <c r="VEI1" s="52" t="s">
        <v>150</v>
      </c>
      <c r="VEJ1" s="52" t="s">
        <v>149</v>
      </c>
      <c r="VEK1" s="52" t="s">
        <v>148</v>
      </c>
      <c r="VEL1" s="52" t="s">
        <v>147</v>
      </c>
      <c r="VEM1" s="52" t="s">
        <v>146</v>
      </c>
      <c r="VEN1" s="52" t="s">
        <v>145</v>
      </c>
      <c r="VEO1" s="52" t="s">
        <v>144</v>
      </c>
      <c r="VEP1" s="52" t="s">
        <v>185</v>
      </c>
      <c r="VEQ1" s="52" t="s">
        <v>186</v>
      </c>
      <c r="VER1" s="52" t="s">
        <v>143</v>
      </c>
      <c r="VES1" s="52" t="s">
        <v>142</v>
      </c>
      <c r="VET1" s="52" t="s">
        <v>141</v>
      </c>
      <c r="VEU1" s="52" t="s">
        <v>140</v>
      </c>
      <c r="VEV1" s="52" t="s">
        <v>139</v>
      </c>
      <c r="VEW1" s="52" t="s">
        <v>138</v>
      </c>
      <c r="VEX1" s="52" t="s">
        <v>137</v>
      </c>
      <c r="VEY1" s="52" t="s">
        <v>136</v>
      </c>
      <c r="VEZ1" s="52" t="s">
        <v>135</v>
      </c>
      <c r="VFA1" s="52" t="s">
        <v>134</v>
      </c>
      <c r="VFB1" s="52" t="s">
        <v>133</v>
      </c>
      <c r="VFC1" s="52" t="s">
        <v>132</v>
      </c>
      <c r="VFD1" s="52" t="s">
        <v>131</v>
      </c>
      <c r="VFE1" s="52" t="s">
        <v>130</v>
      </c>
      <c r="VFF1" s="52" t="s">
        <v>129</v>
      </c>
      <c r="VFG1" s="52" t="s">
        <v>128</v>
      </c>
      <c r="VFH1" s="52" t="s">
        <v>127</v>
      </c>
      <c r="VFI1" s="52" t="s">
        <v>126</v>
      </c>
      <c r="VFJ1" s="52" t="s">
        <v>125</v>
      </c>
      <c r="VFK1" s="52" t="s">
        <v>179</v>
      </c>
      <c r="VFL1" s="52" t="s">
        <v>124</v>
      </c>
      <c r="VFM1" s="52" t="s">
        <v>123</v>
      </c>
      <c r="VFN1" s="52" t="s">
        <v>122</v>
      </c>
      <c r="VFO1" s="52" t="s">
        <v>121</v>
      </c>
      <c r="VFP1" s="52" t="s">
        <v>120</v>
      </c>
      <c r="VFQ1" s="52" t="s">
        <v>119</v>
      </c>
      <c r="VFR1" s="52" t="s">
        <v>118</v>
      </c>
      <c r="VFS1" s="52" t="s">
        <v>117</v>
      </c>
      <c r="VFT1" s="52" t="s">
        <v>116</v>
      </c>
      <c r="VFU1" s="52" t="s">
        <v>115</v>
      </c>
      <c r="VFV1" s="52" t="s">
        <v>114</v>
      </c>
      <c r="VFW1" s="52" t="s">
        <v>113</v>
      </c>
      <c r="VFX1" s="52" t="s">
        <v>112</v>
      </c>
      <c r="VFY1" s="52" t="s">
        <v>111</v>
      </c>
      <c r="VFZ1" s="52" t="s">
        <v>110</v>
      </c>
      <c r="VGA1" s="52" t="s">
        <v>109</v>
      </c>
      <c r="VGB1" s="52" t="s">
        <v>108</v>
      </c>
      <c r="VGC1" s="52" t="s">
        <v>107</v>
      </c>
      <c r="VGD1" s="52" t="s">
        <v>106</v>
      </c>
      <c r="VGE1" s="52" t="s">
        <v>105</v>
      </c>
      <c r="VGF1" s="52" t="s">
        <v>104</v>
      </c>
      <c r="VGG1" s="52" t="s">
        <v>103</v>
      </c>
      <c r="VGH1" s="52" t="s">
        <v>102</v>
      </c>
      <c r="VGI1" s="52" t="s">
        <v>168</v>
      </c>
      <c r="VGJ1" s="52" t="s">
        <v>169</v>
      </c>
      <c r="VGK1" s="52" t="s">
        <v>170</v>
      </c>
      <c r="VGL1" s="52" t="s">
        <v>178</v>
      </c>
      <c r="VGM1" s="52" t="s">
        <v>189</v>
      </c>
      <c r="VGN1" s="52" t="s">
        <v>190</v>
      </c>
    </row>
    <row r="2" spans="1:2129 15008:15068 15384:15392" ht="12.75" hidden="1" x14ac:dyDescent="0.2">
      <c r="A2" s="120" t="s">
        <v>101</v>
      </c>
      <c r="B2" s="120" t="s">
        <v>101</v>
      </c>
      <c r="C2" s="120" t="s">
        <v>101</v>
      </c>
      <c r="D2" s="120" t="s">
        <v>101</v>
      </c>
      <c r="E2" s="120" t="s">
        <v>101</v>
      </c>
      <c r="F2" s="120" t="s">
        <v>101</v>
      </c>
      <c r="G2" s="112" t="s">
        <v>101</v>
      </c>
      <c r="H2" s="111" t="s">
        <v>101</v>
      </c>
      <c r="I2" s="110" t="s">
        <v>101</v>
      </c>
      <c r="J2" s="108" t="s">
        <v>101</v>
      </c>
      <c r="K2" s="110" t="s">
        <v>101</v>
      </c>
      <c r="L2" s="109" t="s">
        <v>101</v>
      </c>
      <c r="M2" s="108" t="s">
        <v>101</v>
      </c>
      <c r="N2" s="171" t="s">
        <v>101</v>
      </c>
      <c r="O2" s="171" t="s">
        <v>101</v>
      </c>
      <c r="P2" s="184" t="s">
        <v>101</v>
      </c>
      <c r="Q2" s="177" t="s">
        <v>101</v>
      </c>
      <c r="R2" s="109" t="s">
        <v>101</v>
      </c>
      <c r="S2" s="109" t="s">
        <v>101</v>
      </c>
      <c r="T2" s="108" t="s">
        <v>101</v>
      </c>
      <c r="U2" s="184" t="s">
        <v>101</v>
      </c>
      <c r="V2" s="184" t="s">
        <v>101</v>
      </c>
      <c r="W2" s="184" t="s">
        <v>101</v>
      </c>
      <c r="X2" s="119" t="s">
        <v>101</v>
      </c>
      <c r="Y2" s="146" t="s">
        <v>101</v>
      </c>
      <c r="Z2" s="146" t="s">
        <v>101</v>
      </c>
      <c r="AA2" s="146" t="s">
        <v>101</v>
      </c>
      <c r="AB2" s="146" t="s">
        <v>101</v>
      </c>
      <c r="VEF2" s="115" t="b">
        <v>1</v>
      </c>
      <c r="VEG2" s="115" t="s">
        <v>171</v>
      </c>
      <c r="VEH2" s="115" t="s">
        <v>171</v>
      </c>
      <c r="VEI2" s="115"/>
      <c r="VEJ2" s="115">
        <v>0</v>
      </c>
      <c r="VEK2" s="118">
        <v>2158758</v>
      </c>
      <c r="VEL2" s="118">
        <v>9041872</v>
      </c>
      <c r="VEM2" s="118">
        <v>15773696</v>
      </c>
      <c r="VEN2" s="118">
        <v>10086143</v>
      </c>
      <c r="VEO2" s="115">
        <v>15773696</v>
      </c>
      <c r="VEP2" s="115">
        <v>0</v>
      </c>
      <c r="VEQ2" s="115">
        <v>0</v>
      </c>
      <c r="VER2" s="115" t="s">
        <v>18</v>
      </c>
      <c r="VES2" s="117"/>
      <c r="VET2" s="117"/>
      <c r="VEU2" s="117"/>
      <c r="VEV2" s="117"/>
      <c r="VEW2" s="115">
        <v>1</v>
      </c>
      <c r="VEX2" s="115" t="s">
        <v>100</v>
      </c>
      <c r="VEY2" s="115">
        <v>1</v>
      </c>
      <c r="VEZ2" s="115">
        <v>1</v>
      </c>
      <c r="VFA2" s="115">
        <v>1</v>
      </c>
      <c r="VFB2" s="115">
        <v>1</v>
      </c>
      <c r="VFC2" s="115"/>
      <c r="VFD2" s="115">
        <v>1</v>
      </c>
      <c r="VFE2" s="115">
        <v>1</v>
      </c>
      <c r="VFF2" s="115">
        <v>1</v>
      </c>
      <c r="VFG2" s="115">
        <v>1</v>
      </c>
      <c r="VFH2" s="115">
        <v>1</v>
      </c>
      <c r="VFI2" s="115"/>
      <c r="VFJ2" s="115">
        <v>1</v>
      </c>
      <c r="VFK2" s="52" t="s">
        <v>180</v>
      </c>
      <c r="VFL2" s="115">
        <v>1</v>
      </c>
      <c r="VFM2" s="116">
        <v>16</v>
      </c>
      <c r="VFN2" s="115">
        <v>1</v>
      </c>
      <c r="VFO2" s="52">
        <v>1</v>
      </c>
      <c r="VFP2" s="52">
        <v>1</v>
      </c>
      <c r="VFQ2" s="52" t="s">
        <v>196</v>
      </c>
      <c r="VFR2" s="52">
        <v>8</v>
      </c>
      <c r="VFS2" s="52">
        <v>0</v>
      </c>
      <c r="VFT2" s="52" t="s">
        <v>99</v>
      </c>
      <c r="VFU2" s="52">
        <v>1</v>
      </c>
      <c r="VFV2" s="52">
        <v>1</v>
      </c>
      <c r="VFW2" s="52">
        <v>0</v>
      </c>
      <c r="VFX2" s="114" t="s">
        <v>199</v>
      </c>
      <c r="VFY2" s="114" t="s">
        <v>198</v>
      </c>
      <c r="VFZ2" s="114" t="s">
        <v>197</v>
      </c>
      <c r="VGB2" s="52">
        <v>0</v>
      </c>
      <c r="VGC2" s="52">
        <v>25</v>
      </c>
      <c r="VGD2" s="52">
        <v>10</v>
      </c>
      <c r="VGE2" s="52" t="s">
        <v>54</v>
      </c>
      <c r="VGF2" s="52">
        <v>0</v>
      </c>
      <c r="VGG2" s="52">
        <v>0</v>
      </c>
      <c r="VGH2" s="52">
        <v>0</v>
      </c>
      <c r="VGI2" s="52">
        <v>12566463</v>
      </c>
      <c r="VGJ2" s="52">
        <v>16777164</v>
      </c>
      <c r="VGK2" s="77" t="s">
        <v>200</v>
      </c>
      <c r="VGL2" s="52" t="s">
        <v>201</v>
      </c>
      <c r="VGM2" s="52" t="s">
        <v>191</v>
      </c>
      <c r="VGN2" s="52" t="s">
        <v>192</v>
      </c>
    </row>
    <row r="3" spans="1:2129 15008:15068 15384:15392" ht="12.75" hidden="1" x14ac:dyDescent="0.2">
      <c r="A3" s="115"/>
      <c r="G3" s="112"/>
      <c r="H3" s="111"/>
      <c r="I3" s="110"/>
      <c r="J3" s="108"/>
      <c r="K3" s="110"/>
      <c r="L3" s="109"/>
      <c r="M3" s="108"/>
      <c r="N3" s="171"/>
      <c r="O3" s="171"/>
      <c r="P3" s="184"/>
      <c r="Q3" s="176"/>
      <c r="R3" s="109"/>
      <c r="S3" s="109"/>
      <c r="T3" s="108"/>
      <c r="U3" s="198"/>
      <c r="V3" s="198"/>
      <c r="W3" s="198"/>
      <c r="X3" s="107"/>
      <c r="Y3" s="40"/>
      <c r="Z3" s="40"/>
      <c r="AA3" s="40"/>
      <c r="AB3" s="40"/>
      <c r="VES3" s="113"/>
    </row>
    <row r="4" spans="1:2129 15008:15068 15384:15392" ht="12.75" hidden="1" x14ac:dyDescent="0.2">
      <c r="G4" s="112"/>
      <c r="H4" s="111"/>
      <c r="I4" s="110"/>
      <c r="J4" s="108"/>
      <c r="K4" s="110"/>
      <c r="L4" s="109"/>
      <c r="M4" s="108"/>
      <c r="N4" s="171"/>
      <c r="O4" s="171"/>
      <c r="P4" s="184"/>
      <c r="Q4" s="176"/>
      <c r="R4" s="109"/>
      <c r="S4" s="109"/>
      <c r="T4" s="108"/>
      <c r="U4" s="198"/>
      <c r="V4" s="198"/>
      <c r="W4" s="198"/>
      <c r="X4" s="107"/>
      <c r="Y4" s="40"/>
      <c r="Z4" s="40"/>
      <c r="AA4" s="40"/>
      <c r="AB4" s="40"/>
    </row>
    <row r="5" spans="1:2129 15008:15068 15384:15392" ht="12.75" hidden="1" x14ac:dyDescent="0.2">
      <c r="G5" s="112"/>
      <c r="H5" s="111"/>
      <c r="I5" s="110"/>
      <c r="J5" s="108"/>
      <c r="K5" s="110"/>
      <c r="L5" s="109"/>
      <c r="M5" s="108"/>
      <c r="N5" s="171"/>
      <c r="O5" s="171"/>
      <c r="P5" s="184"/>
      <c r="Q5" s="176"/>
      <c r="R5" s="109"/>
      <c r="S5" s="109"/>
      <c r="T5" s="108"/>
      <c r="U5" s="198"/>
      <c r="V5" s="198"/>
      <c r="W5" s="198"/>
      <c r="X5" s="107"/>
      <c r="Y5" s="40"/>
      <c r="Z5" s="40"/>
      <c r="AA5" s="40"/>
      <c r="AB5" s="40"/>
    </row>
    <row r="6" spans="1:2129 15008:15068 15384:15392" ht="20.25" customHeight="1" x14ac:dyDescent="0.2">
      <c r="G6" s="106" t="s">
        <v>202</v>
      </c>
      <c r="H6" s="105"/>
      <c r="I6" s="105"/>
      <c r="J6" s="195"/>
      <c r="K6" s="102"/>
      <c r="L6" s="102"/>
      <c r="M6" s="104"/>
      <c r="N6" s="103"/>
      <c r="O6" s="103"/>
      <c r="P6" s="185"/>
      <c r="Q6" s="178"/>
      <c r="R6" s="102"/>
      <c r="S6" s="102"/>
      <c r="T6" s="104"/>
      <c r="U6" s="185"/>
      <c r="V6" s="185"/>
      <c r="W6" s="185"/>
      <c r="X6" s="102"/>
      <c r="Y6" s="102"/>
      <c r="Z6" s="102"/>
      <c r="AA6" s="102"/>
      <c r="AB6" s="102"/>
      <c r="AC6" s="101">
        <v>42933</v>
      </c>
      <c r="AD6" s="101">
        <v>42934</v>
      </c>
      <c r="AE6" s="101">
        <v>42935</v>
      </c>
      <c r="AF6" s="101">
        <v>42936</v>
      </c>
      <c r="AG6" s="101">
        <v>42937</v>
      </c>
      <c r="AH6" s="101">
        <v>42938</v>
      </c>
      <c r="AI6" s="101">
        <v>42939</v>
      </c>
      <c r="AJ6" s="101">
        <v>42940</v>
      </c>
      <c r="AK6" s="101">
        <v>42941</v>
      </c>
      <c r="AL6" s="101">
        <v>42942</v>
      </c>
      <c r="AM6" s="101">
        <v>42943</v>
      </c>
      <c r="AN6" s="101">
        <v>42944</v>
      </c>
      <c r="AO6" s="101">
        <v>42945</v>
      </c>
      <c r="AP6" s="101">
        <v>42946</v>
      </c>
      <c r="AQ6" s="101">
        <v>42947</v>
      </c>
      <c r="AR6" s="101">
        <v>42948</v>
      </c>
      <c r="AS6" s="101">
        <v>42949</v>
      </c>
      <c r="AT6" s="101">
        <v>42950</v>
      </c>
      <c r="AU6" s="101">
        <v>42951</v>
      </c>
      <c r="AV6" s="101">
        <v>42952</v>
      </c>
      <c r="AW6" s="101">
        <v>42953</v>
      </c>
      <c r="AX6" s="101">
        <v>42954</v>
      </c>
      <c r="AY6" s="101">
        <v>42955</v>
      </c>
      <c r="AZ6" s="101">
        <v>42956</v>
      </c>
      <c r="BA6" s="101">
        <v>42957</v>
      </c>
      <c r="BB6" s="101">
        <v>42958</v>
      </c>
      <c r="BC6" s="101">
        <v>42959</v>
      </c>
      <c r="BD6" s="101">
        <v>42960</v>
      </c>
      <c r="BE6" s="101">
        <v>42961</v>
      </c>
      <c r="BF6" s="101">
        <v>42962</v>
      </c>
      <c r="BG6" s="101">
        <v>42963</v>
      </c>
      <c r="BH6" s="101">
        <v>42964</v>
      </c>
      <c r="BI6" s="101">
        <v>42965</v>
      </c>
      <c r="BJ6" s="101">
        <v>42966</v>
      </c>
      <c r="BK6" s="101">
        <v>42967</v>
      </c>
      <c r="BL6" s="101">
        <v>42968</v>
      </c>
      <c r="BM6" s="101">
        <v>42969</v>
      </c>
      <c r="BN6" s="101">
        <v>42970</v>
      </c>
      <c r="BO6" s="101">
        <v>42971</v>
      </c>
      <c r="BP6" s="101">
        <v>42972</v>
      </c>
      <c r="BQ6" s="101">
        <v>42973</v>
      </c>
      <c r="BR6" s="101">
        <v>42974</v>
      </c>
      <c r="BS6" s="101">
        <v>42975</v>
      </c>
      <c r="BT6" s="101">
        <v>42976</v>
      </c>
      <c r="BU6" s="101">
        <v>42977</v>
      </c>
      <c r="BV6" s="101">
        <v>42978</v>
      </c>
      <c r="BW6" s="101">
        <v>42979</v>
      </c>
      <c r="BX6" s="101">
        <v>42980</v>
      </c>
      <c r="BY6" s="101">
        <v>42981</v>
      </c>
      <c r="BZ6" s="101">
        <v>42982</v>
      </c>
      <c r="CA6" s="101">
        <v>42983</v>
      </c>
      <c r="CB6" s="101">
        <v>42984</v>
      </c>
      <c r="CC6" s="101">
        <v>42985</v>
      </c>
      <c r="CD6" s="101">
        <v>42986</v>
      </c>
      <c r="CE6" s="101">
        <v>42987</v>
      </c>
      <c r="CF6" s="101">
        <v>42988</v>
      </c>
      <c r="CG6" s="101">
        <v>42989</v>
      </c>
      <c r="CH6" s="101"/>
      <c r="CI6" s="101"/>
      <c r="CJ6" s="101"/>
      <c r="CK6" s="101"/>
      <c r="CL6" s="101"/>
      <c r="CM6" s="101"/>
      <c r="CN6" s="101"/>
      <c r="CO6" s="101"/>
      <c r="CP6" s="101"/>
      <c r="CQ6" s="101"/>
      <c r="CR6" s="101"/>
      <c r="CS6" s="101"/>
      <c r="CT6" s="101"/>
      <c r="CU6" s="101"/>
      <c r="CV6" s="101"/>
      <c r="CW6" s="101"/>
      <c r="CX6" s="101"/>
      <c r="CY6" s="101"/>
      <c r="CZ6" s="101"/>
      <c r="DA6" s="101"/>
      <c r="DB6" s="101"/>
      <c r="DC6" s="101"/>
      <c r="DD6" s="101"/>
      <c r="DE6" s="101"/>
      <c r="DF6" s="101"/>
      <c r="DG6" s="101"/>
      <c r="DH6" s="101"/>
      <c r="DI6" s="101"/>
      <c r="DJ6" s="101"/>
      <c r="DK6" s="101"/>
      <c r="DL6" s="101"/>
      <c r="DM6" s="101"/>
      <c r="DN6" s="101"/>
      <c r="DO6" s="101"/>
      <c r="DP6" s="101"/>
      <c r="DQ6" s="101"/>
      <c r="DR6" s="101"/>
      <c r="DS6" s="101"/>
      <c r="DT6" s="101"/>
      <c r="DU6" s="101"/>
      <c r="DV6" s="101"/>
      <c r="DW6" s="101"/>
      <c r="DX6" s="101"/>
      <c r="DY6" s="101"/>
      <c r="DZ6" s="101"/>
      <c r="EA6" s="101"/>
      <c r="EB6" s="101"/>
      <c r="EC6" s="101"/>
      <c r="ED6" s="101"/>
      <c r="EE6" s="101"/>
      <c r="EF6" s="101"/>
      <c r="EG6" s="101"/>
      <c r="EH6" s="101"/>
      <c r="EI6" s="101"/>
      <c r="EJ6" s="101"/>
      <c r="EK6" s="101"/>
      <c r="EL6" s="101"/>
      <c r="EM6" s="101"/>
      <c r="EN6" s="101"/>
      <c r="EO6" s="101"/>
      <c r="EP6" s="101"/>
      <c r="EQ6" s="101"/>
      <c r="ER6" s="101"/>
      <c r="ES6" s="101"/>
      <c r="ET6" s="101"/>
      <c r="EU6" s="101"/>
      <c r="EV6" s="101"/>
      <c r="EW6" s="101"/>
      <c r="EX6" s="101"/>
      <c r="EY6" s="101"/>
      <c r="EZ6" s="101"/>
      <c r="FA6" s="101"/>
      <c r="FB6" s="101"/>
      <c r="FC6" s="101"/>
      <c r="FD6" s="101"/>
      <c r="FE6" s="101"/>
      <c r="FF6" s="101"/>
      <c r="FG6" s="101"/>
      <c r="FH6" s="101"/>
      <c r="FI6" s="101"/>
      <c r="FJ6" s="101"/>
      <c r="FK6" s="101"/>
      <c r="FL6" s="101"/>
      <c r="FM6" s="101"/>
      <c r="FN6" s="101"/>
      <c r="FO6" s="101"/>
      <c r="FP6" s="101"/>
      <c r="FQ6" s="101"/>
      <c r="FR6" s="101"/>
      <c r="FS6" s="101"/>
      <c r="FT6" s="101"/>
      <c r="FU6" s="101"/>
      <c r="FV6" s="101"/>
      <c r="FW6" s="101"/>
      <c r="FX6" s="101"/>
      <c r="FY6" s="101"/>
      <c r="FZ6" s="101"/>
      <c r="GA6" s="101"/>
      <c r="GB6" s="101"/>
      <c r="GC6" s="101"/>
      <c r="GD6" s="101"/>
      <c r="GE6" s="101"/>
      <c r="GF6" s="101"/>
      <c r="GG6" s="101"/>
      <c r="GH6" s="101"/>
      <c r="GI6" s="101"/>
      <c r="GJ6" s="101"/>
      <c r="GK6" s="101"/>
      <c r="GL6" s="101"/>
      <c r="GM6" s="101"/>
      <c r="GN6" s="101"/>
      <c r="GO6" s="101"/>
      <c r="GP6" s="101"/>
      <c r="GQ6" s="101"/>
      <c r="GR6" s="101"/>
      <c r="GS6" s="101"/>
      <c r="GT6" s="101"/>
      <c r="GU6" s="101"/>
      <c r="GV6" s="101"/>
      <c r="GW6" s="101"/>
      <c r="GX6" s="101"/>
      <c r="GY6" s="101"/>
      <c r="GZ6" s="101"/>
      <c r="HA6" s="101"/>
      <c r="HB6" s="101"/>
      <c r="HC6" s="101"/>
      <c r="HD6" s="101"/>
      <c r="HE6" s="101"/>
      <c r="HF6" s="101"/>
      <c r="HG6" s="101"/>
      <c r="HH6" s="101"/>
      <c r="HI6" s="101"/>
      <c r="HJ6" s="101"/>
      <c r="HK6" s="101"/>
      <c r="HL6" s="101"/>
      <c r="HM6" s="101"/>
      <c r="HN6" s="101"/>
      <c r="HO6" s="101"/>
      <c r="HP6" s="101"/>
      <c r="HQ6" s="101"/>
      <c r="HR6" s="101"/>
      <c r="HS6" s="101"/>
      <c r="HT6" s="101"/>
      <c r="HU6" s="101"/>
      <c r="HV6" s="101"/>
      <c r="HW6" s="101"/>
      <c r="HX6" s="101"/>
      <c r="HY6" s="101"/>
      <c r="HZ6" s="101"/>
      <c r="IA6" s="101"/>
      <c r="IB6" s="101"/>
      <c r="IC6" s="101"/>
      <c r="ID6" s="101"/>
      <c r="IE6" s="101"/>
      <c r="IF6" s="101"/>
      <c r="IG6" s="101"/>
      <c r="IH6" s="101"/>
      <c r="II6" s="101"/>
      <c r="IJ6" s="101"/>
      <c r="IK6" s="101"/>
      <c r="IL6" s="101"/>
      <c r="IM6" s="101"/>
      <c r="IN6" s="101"/>
      <c r="IO6" s="101"/>
      <c r="IP6" s="101"/>
      <c r="IQ6" s="101"/>
      <c r="IR6" s="101"/>
      <c r="IS6" s="101"/>
      <c r="IT6" s="101"/>
      <c r="IU6" s="101"/>
      <c r="IV6" s="101"/>
      <c r="IW6" s="101"/>
      <c r="IX6" s="101"/>
      <c r="IY6" s="101"/>
      <c r="IZ6" s="101"/>
      <c r="JA6" s="101"/>
      <c r="JB6" s="101"/>
      <c r="JC6" s="101"/>
      <c r="JD6" s="101"/>
      <c r="JE6" s="101"/>
      <c r="JF6" s="101"/>
      <c r="JG6" s="101"/>
      <c r="JH6" s="101"/>
      <c r="JI6" s="101"/>
      <c r="JJ6" s="101"/>
      <c r="JK6" s="101"/>
      <c r="JL6" s="101"/>
      <c r="JM6" s="101"/>
      <c r="JN6" s="101"/>
      <c r="JO6" s="101"/>
      <c r="JP6" s="101"/>
      <c r="JQ6" s="101"/>
      <c r="JR6" s="101"/>
      <c r="JS6" s="101"/>
      <c r="JT6" s="101"/>
      <c r="JU6" s="101"/>
      <c r="JV6" s="101"/>
      <c r="JW6" s="101"/>
      <c r="JX6" s="101"/>
      <c r="JY6" s="101"/>
      <c r="JZ6" s="101"/>
      <c r="KA6" s="101"/>
      <c r="KB6" s="101"/>
      <c r="KC6" s="101"/>
      <c r="KD6" s="101"/>
      <c r="KE6" s="101"/>
      <c r="KF6" s="101"/>
      <c r="KG6" s="101"/>
      <c r="KH6" s="101"/>
      <c r="KI6" s="101"/>
      <c r="KJ6" s="101"/>
      <c r="KK6" s="101"/>
      <c r="KL6" s="101"/>
      <c r="KM6" s="101"/>
      <c r="KN6" s="101"/>
      <c r="KO6" s="101"/>
      <c r="KP6" s="101"/>
      <c r="KQ6" s="101"/>
      <c r="KR6" s="101"/>
      <c r="KS6" s="101"/>
      <c r="KT6" s="101"/>
      <c r="KU6" s="101"/>
      <c r="KV6" s="101"/>
      <c r="KW6" s="101"/>
      <c r="KX6" s="101"/>
      <c r="KY6" s="101"/>
      <c r="KZ6" s="101"/>
      <c r="LA6" s="101"/>
      <c r="LB6" s="101"/>
      <c r="LC6" s="101"/>
      <c r="LD6" s="101"/>
      <c r="LE6" s="101"/>
      <c r="LF6" s="101"/>
      <c r="LG6" s="101"/>
      <c r="LH6" s="101"/>
      <c r="LI6" s="101"/>
      <c r="LJ6" s="101"/>
      <c r="LK6" s="101"/>
      <c r="LL6" s="101"/>
      <c r="LM6" s="101"/>
      <c r="LN6" s="101"/>
      <c r="LO6" s="101"/>
      <c r="LP6" s="101"/>
      <c r="LQ6" s="101"/>
      <c r="LR6" s="101"/>
      <c r="LS6" s="101"/>
      <c r="LT6" s="101"/>
      <c r="LU6" s="101"/>
      <c r="LV6" s="101"/>
      <c r="LW6" s="101"/>
      <c r="LX6" s="101"/>
      <c r="LY6" s="101"/>
      <c r="LZ6" s="101"/>
      <c r="MA6" s="101"/>
      <c r="MB6" s="101"/>
      <c r="MC6" s="101"/>
      <c r="MD6" s="101"/>
      <c r="ME6" s="101"/>
      <c r="MF6" s="101"/>
      <c r="MG6" s="101"/>
      <c r="MH6" s="101"/>
      <c r="MI6" s="101"/>
      <c r="MJ6" s="101"/>
      <c r="MK6" s="101"/>
      <c r="ML6" s="101"/>
      <c r="MM6" s="101"/>
      <c r="MN6" s="101"/>
      <c r="MO6" s="101"/>
      <c r="MP6" s="101"/>
      <c r="MQ6" s="101"/>
      <c r="MR6" s="101"/>
      <c r="MS6" s="101"/>
      <c r="MT6" s="101"/>
      <c r="MU6" s="101"/>
      <c r="MV6" s="101"/>
      <c r="MW6" s="101"/>
      <c r="MX6" s="101"/>
      <c r="MY6" s="101"/>
      <c r="MZ6" s="101"/>
      <c r="NA6" s="101"/>
      <c r="NB6" s="101"/>
      <c r="NC6" s="101"/>
      <c r="ND6" s="101"/>
      <c r="NE6" s="101"/>
      <c r="NF6" s="101"/>
      <c r="NG6" s="101"/>
      <c r="NH6" s="101"/>
      <c r="NI6" s="101"/>
      <c r="NJ6" s="101"/>
      <c r="NK6" s="101"/>
      <c r="NL6" s="101"/>
      <c r="NM6" s="101"/>
      <c r="NN6" s="101"/>
      <c r="NO6" s="101"/>
      <c r="NP6" s="101"/>
      <c r="NQ6" s="101"/>
      <c r="NR6" s="101"/>
      <c r="NS6" s="101"/>
      <c r="NT6" s="101"/>
      <c r="NU6" s="101"/>
      <c r="NV6" s="101"/>
      <c r="NW6" s="101"/>
      <c r="NX6" s="101"/>
      <c r="NY6" s="101"/>
      <c r="NZ6" s="101"/>
      <c r="OA6" s="101"/>
      <c r="OB6" s="101"/>
      <c r="OC6" s="101"/>
      <c r="OD6" s="101"/>
      <c r="OE6" s="101"/>
      <c r="OF6" s="101"/>
      <c r="OG6" s="101"/>
      <c r="OH6" s="101"/>
      <c r="OI6" s="101"/>
      <c r="OJ6" s="101"/>
      <c r="OK6" s="101"/>
      <c r="OL6" s="101"/>
      <c r="OM6" s="101"/>
      <c r="ON6" s="101"/>
      <c r="OO6" s="101"/>
      <c r="OP6" s="101"/>
      <c r="OQ6" s="101"/>
      <c r="OR6" s="101"/>
      <c r="OS6" s="101"/>
      <c r="OT6" s="101"/>
      <c r="OU6" s="101"/>
      <c r="OV6" s="101"/>
      <c r="OW6" s="101"/>
      <c r="OX6" s="101"/>
      <c r="OY6" s="101"/>
      <c r="OZ6" s="101"/>
      <c r="PA6" s="101"/>
      <c r="PB6" s="101"/>
      <c r="PC6" s="101"/>
      <c r="PD6" s="101"/>
      <c r="PE6" s="101"/>
      <c r="PF6" s="101"/>
      <c r="PG6" s="101"/>
      <c r="PH6" s="101"/>
      <c r="PI6" s="101"/>
      <c r="PJ6" s="101"/>
      <c r="PK6" s="101"/>
      <c r="PL6" s="101"/>
      <c r="PM6" s="101"/>
      <c r="PN6" s="101"/>
      <c r="PO6" s="101"/>
      <c r="PP6" s="101"/>
      <c r="PQ6" s="101"/>
      <c r="PR6" s="101"/>
      <c r="PS6" s="101"/>
      <c r="PT6" s="101"/>
      <c r="PU6" s="101"/>
      <c r="PV6" s="101"/>
      <c r="PW6" s="101"/>
      <c r="PX6" s="101"/>
      <c r="PY6" s="101"/>
      <c r="PZ6" s="101"/>
      <c r="QA6" s="101"/>
      <c r="QB6" s="101"/>
      <c r="QC6" s="101"/>
      <c r="QD6" s="101"/>
      <c r="QE6" s="101"/>
      <c r="QF6" s="101"/>
      <c r="QG6" s="101"/>
      <c r="QH6" s="101"/>
      <c r="QI6" s="101"/>
      <c r="QJ6" s="101"/>
      <c r="QK6" s="101"/>
      <c r="QL6" s="101"/>
      <c r="QM6" s="101"/>
      <c r="QN6" s="101"/>
      <c r="QO6" s="101"/>
      <c r="QP6" s="101"/>
      <c r="QQ6" s="101"/>
      <c r="QR6" s="101"/>
      <c r="QS6" s="101"/>
      <c r="QT6" s="101"/>
      <c r="QU6" s="101"/>
      <c r="QV6" s="101"/>
      <c r="QW6" s="101"/>
      <c r="QX6" s="101"/>
      <c r="QY6" s="101"/>
      <c r="QZ6" s="101"/>
      <c r="RA6" s="101"/>
      <c r="RB6" s="101"/>
      <c r="RC6" s="101"/>
      <c r="RD6" s="101"/>
      <c r="RE6" s="101"/>
      <c r="RF6" s="101"/>
      <c r="RG6" s="101"/>
      <c r="RH6" s="101"/>
      <c r="RI6" s="101"/>
      <c r="RJ6" s="101"/>
      <c r="RK6" s="101"/>
      <c r="RL6" s="101"/>
      <c r="RM6" s="101"/>
      <c r="RN6" s="101"/>
      <c r="RO6" s="101"/>
      <c r="RP6" s="101"/>
      <c r="RQ6" s="101"/>
      <c r="RR6" s="101"/>
      <c r="RS6" s="101"/>
      <c r="RT6" s="101"/>
      <c r="RU6" s="101"/>
      <c r="RV6" s="101"/>
      <c r="RW6" s="101"/>
      <c r="RX6" s="101"/>
      <c r="RY6" s="101"/>
      <c r="RZ6" s="101"/>
      <c r="SA6" s="101"/>
      <c r="SB6" s="101"/>
      <c r="SC6" s="101"/>
      <c r="SD6" s="101"/>
      <c r="SE6" s="101"/>
      <c r="SF6" s="101"/>
      <c r="SG6" s="101"/>
      <c r="SH6" s="101"/>
      <c r="SI6" s="101"/>
      <c r="SJ6" s="101"/>
      <c r="SK6" s="101"/>
      <c r="SL6" s="101"/>
      <c r="SM6" s="101"/>
      <c r="SN6" s="101"/>
      <c r="SO6" s="101"/>
      <c r="SP6" s="101"/>
      <c r="SQ6" s="101"/>
      <c r="SR6" s="101"/>
      <c r="SS6" s="101"/>
      <c r="ST6" s="101"/>
      <c r="SU6" s="101"/>
      <c r="SV6" s="101"/>
      <c r="SW6" s="101"/>
      <c r="SX6" s="101"/>
      <c r="SY6" s="101"/>
      <c r="SZ6" s="101"/>
      <c r="TA6" s="101"/>
      <c r="TB6" s="101"/>
      <c r="TC6" s="101"/>
      <c r="TD6" s="101"/>
      <c r="TE6" s="101"/>
      <c r="TF6" s="101"/>
      <c r="TG6" s="101"/>
      <c r="TH6" s="101"/>
      <c r="TI6" s="101"/>
      <c r="TJ6" s="101"/>
      <c r="TK6" s="101"/>
      <c r="TL6" s="101"/>
      <c r="TM6" s="101"/>
      <c r="TN6" s="101"/>
      <c r="TO6" s="101"/>
      <c r="TP6" s="101"/>
      <c r="TQ6" s="101"/>
      <c r="TR6" s="101"/>
      <c r="TS6" s="101"/>
      <c r="TT6" s="101"/>
      <c r="TU6" s="101"/>
      <c r="TV6" s="101"/>
      <c r="TW6" s="101"/>
      <c r="TX6" s="101"/>
      <c r="TY6" s="101"/>
      <c r="TZ6" s="101"/>
      <c r="UA6" s="101"/>
      <c r="UB6" s="101"/>
      <c r="UC6" s="101"/>
      <c r="UD6" s="101"/>
      <c r="UE6" s="101"/>
      <c r="UF6" s="101"/>
      <c r="UG6" s="101"/>
      <c r="UH6" s="101"/>
      <c r="UI6" s="101"/>
      <c r="UJ6" s="101"/>
      <c r="UK6" s="101"/>
      <c r="UL6" s="101"/>
      <c r="UM6" s="101"/>
      <c r="UN6" s="101"/>
      <c r="UO6" s="101"/>
      <c r="UP6" s="101"/>
      <c r="UQ6" s="101"/>
      <c r="UR6" s="101"/>
      <c r="US6" s="101"/>
      <c r="UT6" s="101"/>
      <c r="UU6" s="101"/>
      <c r="UV6" s="101"/>
      <c r="UW6" s="101"/>
      <c r="UX6" s="101"/>
      <c r="UY6" s="101"/>
      <c r="UZ6" s="101"/>
      <c r="VA6" s="101"/>
      <c r="VB6" s="101"/>
      <c r="VC6" s="101"/>
      <c r="VD6" s="101"/>
      <c r="VE6" s="101"/>
      <c r="VF6" s="101"/>
      <c r="VG6" s="101"/>
      <c r="VH6" s="101"/>
      <c r="VI6" s="101"/>
      <c r="VJ6" s="101"/>
      <c r="VK6" s="101"/>
      <c r="VL6" s="101"/>
      <c r="VM6" s="101"/>
      <c r="VN6" s="101"/>
      <c r="VO6" s="101"/>
      <c r="VP6" s="101"/>
      <c r="VQ6" s="101"/>
      <c r="VR6" s="101"/>
      <c r="VS6" s="101"/>
      <c r="VT6" s="101"/>
      <c r="VU6" s="101"/>
      <c r="VV6" s="101"/>
      <c r="VW6" s="101"/>
      <c r="VX6" s="101"/>
      <c r="VY6" s="101"/>
      <c r="VZ6" s="101"/>
      <c r="WA6" s="101"/>
      <c r="WB6" s="101"/>
      <c r="WC6" s="101"/>
      <c r="WD6" s="101"/>
      <c r="WE6" s="101"/>
      <c r="WF6" s="101"/>
      <c r="WG6" s="101"/>
      <c r="WH6" s="101"/>
      <c r="WI6" s="101"/>
      <c r="WJ6" s="101"/>
      <c r="WK6" s="101"/>
      <c r="WL6" s="101"/>
      <c r="WM6" s="101"/>
      <c r="WN6" s="101"/>
      <c r="WO6" s="101"/>
      <c r="WP6" s="101"/>
      <c r="WQ6" s="101"/>
      <c r="WR6" s="101"/>
      <c r="WS6" s="101"/>
      <c r="WT6" s="101"/>
      <c r="WU6" s="101"/>
      <c r="WV6" s="101"/>
      <c r="WW6" s="101"/>
      <c r="WX6" s="101"/>
      <c r="WY6" s="101"/>
      <c r="WZ6" s="101"/>
      <c r="XA6" s="101"/>
      <c r="XB6" s="101"/>
      <c r="XC6" s="101"/>
      <c r="XD6" s="101"/>
      <c r="XE6" s="101"/>
      <c r="XF6" s="101"/>
      <c r="XG6" s="101"/>
      <c r="XH6" s="101"/>
      <c r="XI6" s="101"/>
      <c r="XJ6" s="101"/>
      <c r="XK6" s="101"/>
      <c r="XL6" s="101"/>
      <c r="XM6" s="101"/>
      <c r="XN6" s="101"/>
      <c r="XO6" s="101"/>
      <c r="XP6" s="101"/>
      <c r="XQ6" s="101"/>
      <c r="XR6" s="101"/>
      <c r="XS6" s="101"/>
      <c r="XT6" s="101"/>
      <c r="XU6" s="101"/>
      <c r="XV6" s="101"/>
      <c r="XW6" s="101"/>
      <c r="XX6" s="101"/>
      <c r="XY6" s="101"/>
      <c r="XZ6" s="101"/>
      <c r="YA6" s="101"/>
      <c r="YB6" s="101"/>
      <c r="YC6" s="101"/>
      <c r="YD6" s="101"/>
      <c r="YE6" s="101"/>
      <c r="YF6" s="101"/>
      <c r="YG6" s="101"/>
      <c r="YH6" s="101"/>
      <c r="YI6" s="101"/>
      <c r="YJ6" s="101"/>
      <c r="YK6" s="101"/>
      <c r="YL6" s="101"/>
      <c r="YM6" s="101"/>
      <c r="YN6" s="101"/>
      <c r="YO6" s="101"/>
      <c r="YP6" s="101"/>
      <c r="YQ6" s="101"/>
      <c r="YR6" s="101"/>
      <c r="YS6" s="101"/>
      <c r="YT6" s="101"/>
      <c r="YU6" s="101"/>
      <c r="YV6" s="101"/>
      <c r="YW6" s="101"/>
      <c r="YX6" s="101"/>
      <c r="YY6" s="101"/>
      <c r="YZ6" s="101"/>
      <c r="ZA6" s="101"/>
      <c r="ZB6" s="101"/>
      <c r="ZC6" s="101"/>
      <c r="ZD6" s="101"/>
      <c r="ZE6" s="101"/>
      <c r="ZF6" s="101"/>
      <c r="ZG6" s="101"/>
      <c r="ZH6" s="101"/>
      <c r="ZI6" s="101"/>
      <c r="ZJ6" s="101"/>
      <c r="ZK6" s="101"/>
      <c r="ZL6" s="101"/>
      <c r="ZM6" s="101"/>
      <c r="ZN6" s="101"/>
      <c r="ZO6" s="101"/>
      <c r="ZP6" s="101"/>
      <c r="ZQ6" s="101"/>
      <c r="ZR6" s="101"/>
      <c r="ZS6" s="101"/>
      <c r="ZT6" s="101"/>
      <c r="ZU6" s="101"/>
      <c r="ZV6" s="101"/>
      <c r="ZW6" s="101"/>
      <c r="ZX6" s="101"/>
      <c r="ZY6" s="101"/>
      <c r="ZZ6" s="101"/>
      <c r="AAA6" s="101"/>
      <c r="AAB6" s="101"/>
      <c r="AAC6" s="101"/>
      <c r="AAD6" s="101"/>
      <c r="AAE6" s="101"/>
      <c r="AAF6" s="101"/>
      <c r="AAG6" s="101"/>
      <c r="AAH6" s="101"/>
      <c r="AAI6" s="101"/>
      <c r="AAJ6" s="101"/>
      <c r="AAK6" s="101"/>
      <c r="AAL6" s="101"/>
      <c r="AAM6" s="101"/>
      <c r="AAN6" s="101"/>
      <c r="AAO6" s="101"/>
      <c r="AAP6" s="101"/>
      <c r="AAQ6" s="101"/>
      <c r="AAR6" s="101"/>
      <c r="AAS6" s="101"/>
      <c r="AAT6" s="101"/>
      <c r="AAU6" s="101"/>
      <c r="AAV6" s="101"/>
      <c r="AAW6" s="101"/>
      <c r="AAX6" s="101"/>
      <c r="AAY6" s="101"/>
      <c r="AAZ6" s="101"/>
      <c r="ABA6" s="101"/>
      <c r="ABB6" s="101"/>
      <c r="ABC6" s="101"/>
      <c r="ABD6" s="101"/>
      <c r="ABE6" s="101"/>
      <c r="ABF6" s="101"/>
      <c r="ABG6" s="101"/>
      <c r="ABH6" s="101"/>
      <c r="ABI6" s="101"/>
      <c r="ABJ6" s="101"/>
      <c r="ABK6" s="101"/>
      <c r="ABL6" s="101"/>
      <c r="ABM6" s="101"/>
      <c r="ABN6" s="101"/>
      <c r="ABO6" s="101"/>
      <c r="ABP6" s="101"/>
      <c r="ABQ6" s="101"/>
      <c r="ABR6" s="101"/>
      <c r="ABS6" s="101"/>
      <c r="ABT6" s="101"/>
      <c r="ABU6" s="101"/>
      <c r="ABV6" s="101"/>
      <c r="ABW6" s="101"/>
      <c r="ABX6" s="101"/>
      <c r="ABY6" s="101"/>
      <c r="ABZ6" s="101"/>
      <c r="ACA6" s="101"/>
      <c r="ACB6" s="101"/>
      <c r="ACC6" s="101"/>
      <c r="ACD6" s="101"/>
      <c r="ACE6" s="101"/>
      <c r="ACF6" s="101"/>
      <c r="ACG6" s="101"/>
      <c r="ACH6" s="101"/>
      <c r="ACI6" s="101"/>
      <c r="ACJ6" s="101"/>
      <c r="ACK6" s="101"/>
      <c r="ACL6" s="101"/>
      <c r="ACM6" s="101"/>
      <c r="ACN6" s="101"/>
      <c r="ACO6" s="101"/>
      <c r="ACP6" s="101"/>
      <c r="ACQ6" s="101"/>
      <c r="ACR6" s="101"/>
      <c r="ACS6" s="101"/>
      <c r="ACT6" s="101"/>
      <c r="ACU6" s="101"/>
      <c r="ACV6" s="101"/>
      <c r="ACW6" s="101"/>
      <c r="ACX6" s="101"/>
      <c r="ACY6" s="101"/>
      <c r="ACZ6" s="101"/>
      <c r="ADA6" s="101"/>
      <c r="ADB6" s="101"/>
      <c r="ADC6" s="101"/>
      <c r="ADD6" s="101"/>
      <c r="ADE6" s="101"/>
      <c r="ADF6" s="101"/>
      <c r="ADG6" s="101"/>
      <c r="ADH6" s="101"/>
      <c r="ADI6" s="101"/>
      <c r="ADJ6" s="101"/>
      <c r="ADK6" s="101"/>
      <c r="ADL6" s="101"/>
      <c r="ADM6" s="101"/>
      <c r="ADN6" s="101"/>
      <c r="ADO6" s="101"/>
      <c r="ADP6" s="101"/>
      <c r="ADQ6" s="101"/>
      <c r="ADR6" s="101"/>
      <c r="ADS6" s="101"/>
      <c r="ADT6" s="101"/>
      <c r="ADU6" s="101"/>
      <c r="ADV6" s="101"/>
      <c r="ADW6" s="101"/>
      <c r="ADX6" s="101"/>
      <c r="ADY6" s="101"/>
      <c r="ADZ6" s="101"/>
      <c r="AEA6" s="101"/>
      <c r="AEB6" s="101"/>
      <c r="AEC6" s="101"/>
      <c r="AED6" s="101"/>
      <c r="AEE6" s="101"/>
      <c r="AEF6" s="101"/>
      <c r="AEG6" s="101"/>
      <c r="AEH6" s="101"/>
      <c r="AEI6" s="101"/>
      <c r="AEJ6" s="101"/>
      <c r="AEK6" s="101"/>
      <c r="AEL6" s="101"/>
      <c r="AEM6" s="101"/>
      <c r="AEN6" s="101"/>
      <c r="AEO6" s="101"/>
      <c r="AEP6" s="101"/>
      <c r="AEQ6" s="101"/>
      <c r="AER6" s="101"/>
      <c r="AES6" s="101"/>
      <c r="AET6" s="101"/>
      <c r="AEU6" s="101"/>
      <c r="AEV6" s="101"/>
      <c r="AEW6" s="101"/>
      <c r="AEX6" s="101"/>
      <c r="AEY6" s="101"/>
      <c r="AEZ6" s="101"/>
      <c r="AFA6" s="101"/>
      <c r="AFB6" s="101"/>
      <c r="AFC6" s="101"/>
      <c r="AFD6" s="101"/>
      <c r="AFE6" s="101"/>
      <c r="AFF6" s="101"/>
      <c r="AFG6" s="101"/>
      <c r="AFH6" s="101"/>
      <c r="AFI6" s="101"/>
      <c r="AFJ6" s="101"/>
      <c r="AFK6" s="101"/>
      <c r="AFL6" s="101"/>
      <c r="AFM6" s="101"/>
      <c r="AFN6" s="101"/>
      <c r="AFO6" s="101"/>
      <c r="AFP6" s="101"/>
      <c r="AFQ6" s="101"/>
      <c r="AFR6" s="101"/>
      <c r="AFS6" s="101"/>
      <c r="AFT6" s="101"/>
      <c r="AFU6" s="101"/>
      <c r="AFV6" s="101"/>
      <c r="AFW6" s="101"/>
      <c r="AFX6" s="101"/>
      <c r="AFY6" s="101"/>
      <c r="AFZ6" s="101"/>
      <c r="AGA6" s="101"/>
      <c r="AGB6" s="101"/>
      <c r="AGC6" s="101"/>
      <c r="AGD6" s="101"/>
      <c r="AGE6" s="101"/>
      <c r="AGF6" s="101"/>
      <c r="AGG6" s="101"/>
      <c r="AGH6" s="101"/>
      <c r="AGI6" s="101"/>
      <c r="AGJ6" s="101"/>
      <c r="AGK6" s="101"/>
      <c r="AGL6" s="101"/>
      <c r="AGM6" s="101"/>
      <c r="AGN6" s="101"/>
      <c r="AGO6" s="101"/>
      <c r="AGP6" s="101"/>
      <c r="AGQ6" s="101"/>
      <c r="AGR6" s="101"/>
      <c r="AGS6" s="101"/>
      <c r="AGT6" s="101"/>
      <c r="AGU6" s="101"/>
      <c r="AGV6" s="101"/>
      <c r="AGW6" s="101"/>
      <c r="AGX6" s="101"/>
      <c r="AGY6" s="101"/>
      <c r="AGZ6" s="101"/>
      <c r="AHA6" s="101"/>
      <c r="AHB6" s="101"/>
      <c r="AHC6" s="101"/>
      <c r="AHD6" s="101"/>
      <c r="AHE6" s="101"/>
      <c r="AHF6" s="101"/>
      <c r="AHG6" s="101"/>
      <c r="AHH6" s="101"/>
      <c r="AHI6" s="101"/>
      <c r="AHJ6" s="101"/>
      <c r="AHK6" s="101"/>
      <c r="AHL6" s="101"/>
      <c r="AHM6" s="101"/>
      <c r="AHN6" s="101"/>
      <c r="AHO6" s="101"/>
      <c r="AHP6" s="101"/>
      <c r="AHQ6" s="101"/>
      <c r="AHR6" s="101"/>
      <c r="AHS6" s="101"/>
      <c r="AHT6" s="101"/>
      <c r="AHU6" s="101"/>
      <c r="AHV6" s="101"/>
      <c r="AHW6" s="101"/>
      <c r="AHX6" s="101"/>
      <c r="AHY6" s="101"/>
      <c r="AHZ6" s="101"/>
      <c r="AIA6" s="101"/>
      <c r="AIB6" s="101"/>
      <c r="AIC6" s="101"/>
      <c r="AID6" s="101"/>
      <c r="AIE6" s="101"/>
      <c r="AIF6" s="101"/>
      <c r="AIG6" s="101"/>
      <c r="AIH6" s="101"/>
      <c r="AII6" s="101"/>
      <c r="AIJ6" s="101"/>
      <c r="AIK6" s="101"/>
      <c r="AIL6" s="101"/>
      <c r="AIM6" s="101"/>
      <c r="AIN6" s="101"/>
      <c r="AIO6" s="101"/>
      <c r="AIP6" s="101"/>
      <c r="AIQ6" s="101"/>
      <c r="AIR6" s="101"/>
      <c r="AIS6" s="101"/>
      <c r="AIT6" s="101"/>
      <c r="AIU6" s="101"/>
      <c r="AIV6" s="101"/>
      <c r="AIW6" s="101"/>
      <c r="AIX6" s="101"/>
      <c r="AIY6" s="101"/>
      <c r="AIZ6" s="101"/>
      <c r="AJA6" s="101"/>
      <c r="AJB6" s="101"/>
      <c r="AJC6" s="101"/>
      <c r="AJD6" s="101"/>
      <c r="AJE6" s="101"/>
      <c r="AJF6" s="101"/>
      <c r="AJG6" s="101"/>
      <c r="AJH6" s="101"/>
      <c r="AJI6" s="101"/>
      <c r="AJJ6" s="101"/>
      <c r="AJK6" s="101"/>
      <c r="AJL6" s="101"/>
      <c r="AJM6" s="101"/>
      <c r="AJN6" s="101"/>
      <c r="AJO6" s="101"/>
      <c r="AJP6" s="101"/>
      <c r="AJQ6" s="101"/>
      <c r="AJR6" s="101"/>
      <c r="AJS6" s="101"/>
      <c r="AJT6" s="101"/>
      <c r="AJU6" s="101"/>
      <c r="AJV6" s="101"/>
      <c r="AJW6" s="101"/>
      <c r="AJX6" s="101"/>
      <c r="AJY6" s="101"/>
      <c r="AJZ6" s="101"/>
      <c r="AKA6" s="101"/>
      <c r="AKB6" s="101"/>
      <c r="AKC6" s="101"/>
      <c r="AKD6" s="101"/>
      <c r="AKE6" s="101"/>
      <c r="AKF6" s="101"/>
      <c r="AKG6" s="101"/>
      <c r="AKH6" s="101"/>
      <c r="AKI6" s="101"/>
      <c r="AKJ6" s="101"/>
      <c r="AKK6" s="101"/>
      <c r="AKL6" s="101"/>
      <c r="AKM6" s="101"/>
      <c r="AKN6" s="101"/>
      <c r="AKO6" s="101"/>
      <c r="AKP6" s="101"/>
      <c r="AKQ6" s="101"/>
      <c r="AKR6" s="101"/>
      <c r="AKS6" s="101"/>
      <c r="AKT6" s="101"/>
      <c r="AKU6" s="101"/>
      <c r="AKV6" s="101"/>
      <c r="AKW6" s="101"/>
      <c r="AKX6" s="101"/>
      <c r="AKY6" s="101"/>
      <c r="AKZ6" s="101"/>
      <c r="ALA6" s="101"/>
      <c r="ALB6" s="101"/>
      <c r="ALC6" s="101"/>
      <c r="ALD6" s="101"/>
      <c r="ALE6" s="101"/>
      <c r="ALF6" s="101"/>
      <c r="ALG6" s="101"/>
      <c r="ALH6" s="101"/>
      <c r="ALI6" s="101"/>
      <c r="ALJ6" s="101"/>
      <c r="ALK6" s="101"/>
      <c r="ALL6" s="101"/>
      <c r="ALM6" s="101"/>
      <c r="ALN6" s="101"/>
      <c r="ALO6" s="101"/>
      <c r="ALP6" s="101"/>
      <c r="ALQ6" s="101"/>
      <c r="ALR6" s="101"/>
      <c r="ALS6" s="101"/>
      <c r="ALT6" s="101"/>
      <c r="ALU6" s="101"/>
      <c r="ALV6" s="101"/>
      <c r="ALW6" s="101"/>
      <c r="ALX6" s="101"/>
      <c r="ALY6" s="101"/>
      <c r="ALZ6" s="101"/>
      <c r="AMA6" s="101"/>
      <c r="AMB6" s="101"/>
      <c r="AMC6" s="101"/>
      <c r="AMD6" s="101"/>
      <c r="AME6" s="101"/>
      <c r="AMF6" s="101"/>
      <c r="AMG6" s="101"/>
      <c r="AMH6" s="101"/>
      <c r="AMI6" s="101"/>
      <c r="AMJ6" s="101"/>
      <c r="AMK6" s="101"/>
      <c r="AML6" s="101"/>
      <c r="AMM6" s="101"/>
      <c r="AMN6" s="101"/>
      <c r="AMO6" s="101"/>
      <c r="AMP6" s="101"/>
      <c r="AMQ6" s="101"/>
      <c r="AMR6" s="101"/>
      <c r="AMS6" s="101"/>
      <c r="AMT6" s="101"/>
      <c r="AMU6" s="101"/>
      <c r="AMV6" s="101"/>
      <c r="AMW6" s="101"/>
      <c r="AMX6" s="101"/>
      <c r="AMY6" s="101"/>
      <c r="AMZ6" s="101"/>
      <c r="ANA6" s="101"/>
      <c r="ANB6" s="101"/>
      <c r="ANC6" s="101"/>
      <c r="AND6" s="101"/>
      <c r="ANE6" s="101"/>
      <c r="ANF6" s="101"/>
      <c r="ANG6" s="101"/>
      <c r="ANH6" s="101"/>
      <c r="ANI6" s="101"/>
      <c r="ANJ6" s="101"/>
      <c r="ANK6" s="101"/>
      <c r="ANL6" s="101"/>
      <c r="ANM6" s="101"/>
      <c r="ANN6" s="101"/>
      <c r="ANO6" s="101"/>
      <c r="ANP6" s="101"/>
      <c r="ANQ6" s="101"/>
      <c r="ANR6" s="101"/>
      <c r="ANS6" s="101"/>
      <c r="ANT6" s="101"/>
      <c r="ANU6" s="101"/>
      <c r="ANV6" s="101"/>
      <c r="ANW6" s="101"/>
      <c r="ANX6" s="101"/>
      <c r="ANY6" s="101"/>
      <c r="ANZ6" s="101"/>
      <c r="AOA6" s="101"/>
      <c r="AOB6" s="101"/>
      <c r="AOC6" s="101"/>
      <c r="AOD6" s="101"/>
      <c r="AOE6" s="101"/>
      <c r="AOF6" s="101"/>
      <c r="AOG6" s="101"/>
      <c r="AOH6" s="101"/>
      <c r="AOI6" s="101"/>
      <c r="AOJ6" s="101"/>
      <c r="AOK6" s="101"/>
      <c r="AOL6" s="101"/>
      <c r="AOM6" s="101"/>
      <c r="AON6" s="101"/>
      <c r="AOO6" s="101"/>
      <c r="AOP6" s="101"/>
      <c r="AOQ6" s="101"/>
      <c r="AOR6" s="101"/>
      <c r="AOS6" s="101"/>
      <c r="AOT6" s="101"/>
      <c r="AOU6" s="101"/>
      <c r="AOV6" s="101"/>
      <c r="AOW6" s="101"/>
      <c r="AOX6" s="101"/>
      <c r="AOY6" s="101"/>
      <c r="AOZ6" s="101"/>
      <c r="APA6" s="101"/>
      <c r="APB6" s="101"/>
      <c r="APC6" s="101"/>
      <c r="APD6" s="101"/>
      <c r="APE6" s="101"/>
      <c r="APF6" s="101"/>
      <c r="APG6" s="101"/>
      <c r="APH6" s="101"/>
      <c r="API6" s="101"/>
      <c r="APJ6" s="101"/>
      <c r="APK6" s="101"/>
      <c r="APL6" s="101"/>
      <c r="APM6" s="101"/>
      <c r="APN6" s="101"/>
      <c r="APO6" s="101"/>
      <c r="APP6" s="101"/>
      <c r="APQ6" s="101"/>
      <c r="APR6" s="101"/>
      <c r="APS6" s="101"/>
      <c r="APT6" s="101"/>
      <c r="APU6" s="101"/>
      <c r="APV6" s="101"/>
      <c r="APW6" s="101"/>
      <c r="APX6" s="101"/>
      <c r="APY6" s="101"/>
      <c r="APZ6" s="101"/>
      <c r="AQA6" s="101"/>
      <c r="AQB6" s="101"/>
      <c r="AQC6" s="101"/>
      <c r="AQD6" s="101"/>
      <c r="AQE6" s="101"/>
      <c r="AQF6" s="101"/>
      <c r="AQG6" s="101"/>
      <c r="AQH6" s="101"/>
      <c r="AQI6" s="101"/>
      <c r="AQJ6" s="101"/>
      <c r="AQK6" s="101"/>
      <c r="AQL6" s="101"/>
      <c r="AQM6" s="101"/>
      <c r="AQN6" s="101"/>
      <c r="AQO6" s="101"/>
      <c r="AQP6" s="101"/>
      <c r="AQQ6" s="101"/>
      <c r="AQR6" s="101"/>
      <c r="AQS6" s="101"/>
      <c r="AQT6" s="101"/>
      <c r="AQU6" s="101"/>
      <c r="AQV6" s="101"/>
      <c r="AQW6" s="101"/>
      <c r="AQX6" s="101"/>
      <c r="AQY6" s="101"/>
      <c r="AQZ6" s="101"/>
      <c r="ARA6" s="101"/>
      <c r="ARB6" s="101"/>
      <c r="ARC6" s="101"/>
      <c r="ARD6" s="101"/>
      <c r="ARE6" s="101"/>
      <c r="ARF6" s="101"/>
      <c r="ARG6" s="101"/>
      <c r="ARH6" s="101"/>
      <c r="ARI6" s="101"/>
      <c r="ARJ6" s="101"/>
      <c r="ARK6" s="101"/>
      <c r="ARL6" s="101"/>
      <c r="ARM6" s="101"/>
      <c r="ARN6" s="101"/>
      <c r="ARO6" s="101"/>
      <c r="ARP6" s="101"/>
      <c r="ARQ6" s="101"/>
      <c r="ARR6" s="101"/>
      <c r="ARS6" s="101"/>
      <c r="ART6" s="101"/>
      <c r="ARU6" s="101"/>
      <c r="ARV6" s="101"/>
      <c r="ARW6" s="101"/>
      <c r="ARX6" s="101"/>
      <c r="ARY6" s="101"/>
      <c r="ARZ6" s="101"/>
      <c r="ASA6" s="101"/>
      <c r="ASB6" s="101"/>
      <c r="ASC6" s="101"/>
      <c r="ASD6" s="101"/>
      <c r="ASE6" s="101"/>
      <c r="ASF6" s="101"/>
      <c r="ASG6" s="101"/>
      <c r="ASH6" s="101"/>
      <c r="ASI6" s="101"/>
      <c r="ASJ6" s="101"/>
      <c r="ASK6" s="101"/>
      <c r="ASL6" s="101"/>
      <c r="ASM6" s="101"/>
      <c r="ASN6" s="101"/>
      <c r="ASO6" s="101"/>
      <c r="ASP6" s="101"/>
      <c r="ASQ6" s="101"/>
      <c r="ASR6" s="101"/>
      <c r="ASS6" s="101"/>
      <c r="AST6" s="101"/>
      <c r="ASU6" s="101"/>
      <c r="ASV6" s="101"/>
      <c r="ASW6" s="101"/>
      <c r="ASX6" s="101"/>
      <c r="ASY6" s="101"/>
      <c r="ASZ6" s="101"/>
      <c r="ATA6" s="101"/>
      <c r="ATB6" s="101"/>
      <c r="ATC6" s="101"/>
      <c r="ATD6" s="101"/>
      <c r="ATE6" s="101"/>
      <c r="ATF6" s="101"/>
      <c r="ATG6" s="101"/>
      <c r="ATH6" s="101"/>
      <c r="ATI6" s="101"/>
      <c r="ATJ6" s="101"/>
      <c r="ATK6" s="101"/>
      <c r="ATL6" s="101"/>
      <c r="ATM6" s="101"/>
      <c r="ATN6" s="101"/>
      <c r="ATO6" s="101"/>
      <c r="ATP6" s="101"/>
      <c r="ATQ6" s="101"/>
      <c r="ATR6" s="101"/>
      <c r="ATS6" s="101"/>
      <c r="ATT6" s="101"/>
      <c r="ATU6" s="101"/>
      <c r="ATV6" s="101"/>
      <c r="ATW6" s="101"/>
      <c r="ATX6" s="101"/>
      <c r="ATY6" s="101"/>
      <c r="ATZ6" s="101"/>
      <c r="AUA6" s="101"/>
      <c r="AUB6" s="101"/>
      <c r="AUC6" s="101"/>
      <c r="AUD6" s="101"/>
      <c r="AUE6" s="101"/>
      <c r="AUF6" s="101"/>
      <c r="AUG6" s="101"/>
      <c r="AUH6" s="101"/>
      <c r="AUI6" s="101"/>
      <c r="AUJ6" s="101"/>
      <c r="AUK6" s="101"/>
      <c r="AUL6" s="101"/>
      <c r="AUM6" s="101"/>
      <c r="AUN6" s="101"/>
      <c r="AUO6" s="101"/>
      <c r="AUP6" s="101"/>
      <c r="AUQ6" s="101"/>
      <c r="AUR6" s="101"/>
      <c r="AUS6" s="101"/>
      <c r="AUT6" s="101"/>
      <c r="AUU6" s="101"/>
      <c r="AUV6" s="101"/>
      <c r="AUW6" s="101"/>
      <c r="AUX6" s="101"/>
      <c r="AUY6" s="101"/>
      <c r="AUZ6" s="101"/>
      <c r="AVA6" s="101"/>
      <c r="AVB6" s="101"/>
      <c r="AVC6" s="101"/>
      <c r="AVD6" s="101"/>
      <c r="AVE6" s="101"/>
      <c r="AVF6" s="101"/>
      <c r="AVG6" s="101"/>
      <c r="AVH6" s="101"/>
      <c r="AVI6" s="101"/>
      <c r="AVJ6" s="101"/>
      <c r="AVK6" s="101"/>
      <c r="AVL6" s="101"/>
      <c r="AVM6" s="101"/>
      <c r="AVN6" s="101"/>
      <c r="AVO6" s="101"/>
      <c r="AVP6" s="101"/>
      <c r="AVQ6" s="101"/>
      <c r="AVR6" s="101"/>
      <c r="AVS6" s="101"/>
      <c r="AVT6" s="101"/>
      <c r="AVU6" s="101"/>
      <c r="AVV6" s="101"/>
      <c r="AVW6" s="101"/>
      <c r="AVX6" s="101"/>
      <c r="AVY6" s="101"/>
      <c r="AVZ6" s="101"/>
      <c r="AWA6" s="101"/>
      <c r="AWB6" s="101"/>
      <c r="AWC6" s="101"/>
      <c r="AWD6" s="101"/>
      <c r="AWE6" s="101"/>
      <c r="AWF6" s="101"/>
      <c r="AWG6" s="101"/>
      <c r="AWH6" s="101"/>
      <c r="AWI6" s="101"/>
      <c r="AWJ6" s="101"/>
      <c r="AWK6" s="101"/>
      <c r="AWL6" s="101"/>
      <c r="AWM6" s="101"/>
      <c r="AWN6" s="101"/>
      <c r="AWO6" s="101"/>
      <c r="AWP6" s="101"/>
      <c r="AWQ6" s="101"/>
      <c r="AWR6" s="101"/>
      <c r="AWS6" s="101"/>
      <c r="AWT6" s="101"/>
      <c r="AWU6" s="101"/>
      <c r="AWV6" s="101"/>
      <c r="AWW6" s="101"/>
      <c r="AWX6" s="101"/>
      <c r="AWY6" s="101"/>
      <c r="AWZ6" s="101"/>
      <c r="AXA6" s="101"/>
      <c r="AXB6" s="101"/>
      <c r="AXC6" s="101"/>
      <c r="AXD6" s="101"/>
      <c r="AXE6" s="101"/>
      <c r="AXF6" s="101"/>
      <c r="AXG6" s="101"/>
      <c r="AXH6" s="101"/>
      <c r="AXI6" s="101"/>
      <c r="AXJ6" s="101"/>
      <c r="AXK6" s="101"/>
      <c r="AXL6" s="101"/>
      <c r="AXM6" s="101"/>
      <c r="AXN6" s="101"/>
      <c r="AXO6" s="101"/>
      <c r="AXP6" s="101"/>
      <c r="AXQ6" s="101"/>
      <c r="AXR6" s="101"/>
      <c r="AXS6" s="101"/>
      <c r="AXT6" s="101"/>
      <c r="AXU6" s="101"/>
      <c r="AXV6" s="101"/>
      <c r="AXW6" s="101"/>
      <c r="AXX6" s="101"/>
      <c r="AXY6" s="101"/>
      <c r="AXZ6" s="101"/>
      <c r="AYA6" s="101"/>
      <c r="AYB6" s="101"/>
      <c r="AYC6" s="101"/>
      <c r="AYD6" s="101"/>
      <c r="AYE6" s="101"/>
      <c r="AYF6" s="101"/>
      <c r="AYG6" s="101"/>
      <c r="AYH6" s="101"/>
      <c r="AYI6" s="101"/>
      <c r="AYJ6" s="101"/>
      <c r="AYK6" s="101"/>
      <c r="AYL6" s="101"/>
      <c r="AYM6" s="101"/>
      <c r="AYN6" s="101"/>
      <c r="AYO6" s="101"/>
      <c r="AYP6" s="101"/>
      <c r="AYQ6" s="101"/>
      <c r="AYR6" s="101"/>
      <c r="AYS6" s="101"/>
      <c r="AYT6" s="101"/>
      <c r="AYU6" s="101"/>
      <c r="AYV6" s="101"/>
      <c r="AYW6" s="101"/>
      <c r="AYX6" s="101"/>
      <c r="AYY6" s="101"/>
      <c r="AYZ6" s="101"/>
      <c r="AZA6" s="101"/>
      <c r="AZB6" s="101"/>
      <c r="AZC6" s="101"/>
      <c r="AZD6" s="101"/>
      <c r="AZE6" s="101"/>
      <c r="AZF6" s="101"/>
      <c r="AZG6" s="101"/>
      <c r="AZH6" s="101"/>
      <c r="AZI6" s="101"/>
      <c r="AZJ6" s="101"/>
      <c r="AZK6" s="101"/>
      <c r="AZL6" s="101"/>
      <c r="AZM6" s="101"/>
      <c r="AZN6" s="101"/>
      <c r="AZO6" s="101"/>
      <c r="AZP6" s="101"/>
      <c r="AZQ6" s="101"/>
      <c r="AZR6" s="101"/>
      <c r="AZS6" s="101"/>
      <c r="AZT6" s="101"/>
      <c r="AZU6" s="101"/>
      <c r="AZV6" s="101"/>
      <c r="AZW6" s="101"/>
      <c r="AZX6" s="101"/>
      <c r="AZY6" s="101"/>
      <c r="AZZ6" s="101"/>
      <c r="BAA6" s="101"/>
      <c r="BAB6" s="101"/>
      <c r="BAC6" s="101"/>
      <c r="BAD6" s="101"/>
      <c r="BAE6" s="101"/>
      <c r="BAF6" s="101"/>
      <c r="BAG6" s="101"/>
      <c r="BAH6" s="101"/>
      <c r="BAI6" s="101"/>
      <c r="BAJ6" s="101"/>
      <c r="BAK6" s="101"/>
      <c r="BAL6" s="101"/>
      <c r="BAM6" s="101"/>
      <c r="BAN6" s="101"/>
      <c r="BAO6" s="101"/>
      <c r="BAP6" s="101"/>
      <c r="BAQ6" s="101"/>
      <c r="BAR6" s="101"/>
      <c r="BAS6" s="101"/>
      <c r="BAT6" s="101"/>
      <c r="BAU6" s="101"/>
      <c r="BAV6" s="101"/>
      <c r="BAW6" s="101"/>
      <c r="BAX6" s="101"/>
      <c r="BAY6" s="101"/>
      <c r="BAZ6" s="101"/>
      <c r="BBA6" s="101"/>
      <c r="BBB6" s="101"/>
      <c r="BBC6" s="101"/>
      <c r="BBD6" s="101"/>
      <c r="BBE6" s="101"/>
      <c r="BBF6" s="101"/>
      <c r="BBG6" s="101"/>
      <c r="BBH6" s="101"/>
      <c r="BBI6" s="101"/>
      <c r="BBJ6" s="101"/>
      <c r="BBK6" s="101"/>
      <c r="BBL6" s="101"/>
      <c r="BBM6" s="101"/>
      <c r="BBN6" s="101"/>
      <c r="BBO6" s="101"/>
      <c r="BBP6" s="101"/>
      <c r="BBQ6" s="101"/>
      <c r="BBR6" s="101"/>
      <c r="BBS6" s="101"/>
      <c r="BBT6" s="101"/>
      <c r="BBU6" s="101"/>
      <c r="BBV6" s="101"/>
      <c r="BBW6" s="101"/>
      <c r="BBX6" s="101"/>
      <c r="BBY6" s="101"/>
      <c r="BBZ6" s="101"/>
      <c r="BCA6" s="101"/>
      <c r="BCB6" s="101"/>
      <c r="BCC6" s="101"/>
      <c r="BCD6" s="101"/>
      <c r="BCE6" s="101"/>
      <c r="BCF6" s="101"/>
      <c r="BCG6" s="101"/>
      <c r="BCH6" s="101"/>
      <c r="BCI6" s="101"/>
      <c r="BCJ6" s="101"/>
      <c r="BCK6" s="101"/>
      <c r="BCL6" s="101"/>
      <c r="BCM6" s="101"/>
      <c r="BCN6" s="101"/>
      <c r="BCO6" s="101"/>
      <c r="BCP6" s="101"/>
      <c r="BCQ6" s="101"/>
      <c r="BCR6" s="101"/>
      <c r="BCS6" s="101"/>
      <c r="BCT6" s="101"/>
      <c r="BCU6" s="101"/>
      <c r="BCV6" s="101"/>
      <c r="BCW6" s="101"/>
      <c r="BCX6" s="101"/>
      <c r="BCY6" s="101"/>
      <c r="BCZ6" s="101"/>
      <c r="BDA6" s="101"/>
      <c r="BDB6" s="101"/>
      <c r="BDC6" s="101"/>
      <c r="BDD6" s="101"/>
      <c r="BDE6" s="101"/>
      <c r="BDF6" s="101"/>
      <c r="BDG6" s="101"/>
      <c r="BDH6" s="101"/>
      <c r="BDI6" s="101"/>
      <c r="BDJ6" s="101"/>
      <c r="BDK6" s="101"/>
      <c r="BDL6" s="101"/>
      <c r="BDM6" s="101"/>
      <c r="BDN6" s="101"/>
      <c r="BDO6" s="101"/>
      <c r="BDP6" s="101"/>
      <c r="BDQ6" s="101"/>
      <c r="BDR6" s="101"/>
      <c r="BDS6" s="101"/>
      <c r="BDT6" s="101"/>
      <c r="BDU6" s="101"/>
      <c r="BDV6" s="101"/>
      <c r="BDW6" s="101"/>
      <c r="BDX6" s="101"/>
      <c r="BDY6" s="101"/>
      <c r="BDZ6" s="101"/>
      <c r="BEA6" s="101"/>
      <c r="BEB6" s="101"/>
      <c r="BEC6" s="101"/>
      <c r="BED6" s="101"/>
      <c r="BEE6" s="101"/>
      <c r="BEF6" s="101"/>
      <c r="BEG6" s="101"/>
      <c r="BEH6" s="101"/>
      <c r="BEI6" s="101"/>
      <c r="BEJ6" s="101"/>
      <c r="BEK6" s="101"/>
      <c r="BEL6" s="101"/>
      <c r="BEM6" s="101"/>
      <c r="BEN6" s="101"/>
      <c r="BEO6" s="101"/>
      <c r="BEP6" s="101"/>
      <c r="BEQ6" s="101"/>
      <c r="BER6" s="101"/>
      <c r="BES6" s="101"/>
      <c r="BET6" s="101"/>
      <c r="BEU6" s="101"/>
      <c r="BEV6" s="101"/>
      <c r="BEW6" s="101"/>
      <c r="BEX6" s="101"/>
      <c r="BEY6" s="101"/>
      <c r="BEZ6" s="101"/>
      <c r="BFA6" s="101"/>
      <c r="BFB6" s="101"/>
      <c r="BFC6" s="101"/>
      <c r="BFD6" s="101"/>
      <c r="BFE6" s="101"/>
      <c r="BFF6" s="101"/>
      <c r="BFG6" s="101"/>
      <c r="BFH6" s="101"/>
      <c r="BFI6" s="101"/>
      <c r="BFJ6" s="101"/>
      <c r="BFK6" s="101"/>
      <c r="BFL6" s="101"/>
      <c r="BFM6" s="101"/>
      <c r="BFN6" s="101"/>
      <c r="BFO6" s="101"/>
      <c r="BFP6" s="101"/>
      <c r="BFQ6" s="101"/>
      <c r="BFR6" s="101"/>
      <c r="BFS6" s="101"/>
      <c r="BFT6" s="101"/>
      <c r="BFU6" s="101"/>
      <c r="BFV6" s="101"/>
      <c r="BFW6" s="101"/>
      <c r="BFX6" s="101"/>
      <c r="BFY6" s="101"/>
      <c r="BFZ6" s="101"/>
      <c r="BGA6" s="101"/>
      <c r="BGB6" s="101"/>
      <c r="BGC6" s="101"/>
      <c r="BGD6" s="101"/>
      <c r="BGE6" s="101"/>
      <c r="BGF6" s="101"/>
      <c r="BGG6" s="101"/>
      <c r="BGH6" s="101"/>
      <c r="BGI6" s="101"/>
      <c r="BGJ6" s="101"/>
      <c r="BGK6" s="101"/>
      <c r="BGL6" s="101"/>
      <c r="BGM6" s="101"/>
      <c r="BGN6" s="101"/>
      <c r="BGO6" s="101"/>
      <c r="BGP6" s="101"/>
      <c r="BGQ6" s="101"/>
      <c r="BGR6" s="101"/>
      <c r="BGS6" s="101"/>
      <c r="BGT6" s="101"/>
      <c r="BGU6" s="101"/>
      <c r="BGV6" s="101"/>
      <c r="BGW6" s="101"/>
      <c r="BGX6" s="101"/>
      <c r="BGY6" s="101"/>
      <c r="BGZ6" s="101"/>
      <c r="BHA6" s="101"/>
      <c r="BHB6" s="101"/>
      <c r="BHC6" s="101"/>
      <c r="BHD6" s="101"/>
      <c r="BHE6" s="101"/>
      <c r="BHF6" s="101"/>
      <c r="BHG6" s="101"/>
      <c r="BHH6" s="101"/>
      <c r="BHI6" s="101"/>
      <c r="BHJ6" s="101"/>
      <c r="BHK6" s="101"/>
      <c r="BHL6" s="101"/>
      <c r="BHM6" s="101"/>
      <c r="BHN6" s="101"/>
      <c r="BHO6" s="101"/>
      <c r="BHP6" s="101"/>
      <c r="BHQ6" s="101"/>
      <c r="BHR6" s="101"/>
      <c r="BHS6" s="101"/>
      <c r="BHT6" s="101"/>
      <c r="BHU6" s="101"/>
      <c r="BHV6" s="101"/>
      <c r="BHW6" s="101"/>
      <c r="BHX6" s="101"/>
      <c r="BHY6" s="101"/>
      <c r="BHZ6" s="101"/>
      <c r="BIA6" s="101"/>
      <c r="BIB6" s="101"/>
      <c r="BIC6" s="101"/>
      <c r="BID6" s="101"/>
      <c r="BIE6" s="101"/>
      <c r="BIF6" s="101"/>
      <c r="BIG6" s="101"/>
      <c r="BIH6" s="101"/>
      <c r="BII6" s="101"/>
      <c r="BIJ6" s="101"/>
      <c r="BIK6" s="101"/>
      <c r="BIL6" s="101"/>
      <c r="BIM6" s="101"/>
      <c r="BIN6" s="101"/>
      <c r="BIO6" s="101"/>
      <c r="BIP6" s="101"/>
      <c r="BIQ6" s="101"/>
      <c r="BIR6" s="101"/>
      <c r="BIS6" s="101"/>
      <c r="BIT6" s="101"/>
      <c r="BIU6" s="101"/>
      <c r="BIV6" s="101"/>
      <c r="BIW6" s="101"/>
      <c r="BIX6" s="101"/>
      <c r="BIY6" s="101"/>
      <c r="BIZ6" s="101"/>
      <c r="BJA6" s="101"/>
      <c r="BJB6" s="101"/>
      <c r="BJC6" s="101"/>
      <c r="BJD6" s="101"/>
      <c r="BJE6" s="101"/>
      <c r="BJF6" s="101"/>
      <c r="BJG6" s="101"/>
      <c r="BJH6" s="101"/>
      <c r="BJI6" s="101"/>
      <c r="BJJ6" s="101"/>
      <c r="BJK6" s="101"/>
      <c r="BJL6" s="101"/>
      <c r="BJM6" s="101"/>
      <c r="BJN6" s="101"/>
      <c r="BJO6" s="101"/>
      <c r="BJP6" s="101"/>
      <c r="BJQ6" s="101"/>
      <c r="BJR6" s="101"/>
      <c r="BJS6" s="101"/>
      <c r="BJT6" s="101"/>
      <c r="BJU6" s="101"/>
      <c r="BJV6" s="101"/>
      <c r="BJW6" s="101"/>
      <c r="BJX6" s="101"/>
      <c r="BJY6" s="101"/>
      <c r="BJZ6" s="101"/>
      <c r="BKA6" s="101"/>
      <c r="BKB6" s="101"/>
      <c r="BKC6" s="101"/>
      <c r="BKD6" s="101"/>
      <c r="BKE6" s="101"/>
      <c r="BKF6" s="101"/>
      <c r="BKG6" s="101"/>
      <c r="BKH6" s="101"/>
      <c r="BKI6" s="101"/>
      <c r="BKJ6" s="101"/>
      <c r="BKK6" s="101"/>
      <c r="BKL6" s="101"/>
      <c r="BKM6" s="101"/>
      <c r="BKN6" s="101"/>
      <c r="BKO6" s="101"/>
      <c r="BKP6" s="101"/>
      <c r="BKQ6" s="101"/>
      <c r="BKR6" s="101"/>
      <c r="BKS6" s="101"/>
      <c r="BKT6" s="101"/>
      <c r="BKU6" s="101"/>
      <c r="BKV6" s="101"/>
      <c r="BKW6" s="101"/>
      <c r="BKX6" s="101"/>
      <c r="BKY6" s="101"/>
      <c r="BKZ6" s="101"/>
      <c r="BLA6" s="101"/>
      <c r="BLB6" s="101"/>
      <c r="BLC6" s="101"/>
      <c r="BLD6" s="101"/>
      <c r="BLE6" s="101"/>
      <c r="BLF6" s="101"/>
      <c r="BLG6" s="101"/>
      <c r="BLH6" s="101"/>
      <c r="BLI6" s="101"/>
      <c r="BLJ6" s="101"/>
      <c r="BLK6" s="101"/>
      <c r="BLL6" s="101"/>
      <c r="BLM6" s="101"/>
      <c r="BLN6" s="101"/>
      <c r="BLO6" s="101"/>
      <c r="BLP6" s="101"/>
      <c r="BLQ6" s="101"/>
      <c r="BLR6" s="101"/>
      <c r="BLS6" s="101"/>
      <c r="BLT6" s="101"/>
      <c r="BLU6" s="101"/>
      <c r="BLV6" s="101"/>
      <c r="BLW6" s="101"/>
      <c r="BLX6" s="101"/>
      <c r="BLY6" s="101"/>
      <c r="BLZ6" s="101"/>
      <c r="BMA6" s="101"/>
      <c r="BMB6" s="101"/>
      <c r="BMC6" s="101"/>
      <c r="BMD6" s="101"/>
      <c r="BME6" s="101"/>
      <c r="BMF6" s="101"/>
      <c r="BMG6" s="101"/>
      <c r="BMH6" s="101"/>
      <c r="BMI6" s="101"/>
      <c r="BMJ6" s="101"/>
      <c r="BMK6" s="101"/>
      <c r="BML6" s="101"/>
      <c r="BMM6" s="101"/>
      <c r="BMN6" s="101"/>
      <c r="BMO6" s="101"/>
      <c r="BMP6" s="101"/>
      <c r="BMQ6" s="101"/>
      <c r="BMR6" s="101"/>
      <c r="BMS6" s="101"/>
      <c r="BMT6" s="101"/>
      <c r="BMU6" s="101"/>
      <c r="BMV6" s="101"/>
      <c r="BMW6" s="101"/>
      <c r="BMX6" s="101"/>
      <c r="BMY6" s="101"/>
      <c r="BMZ6" s="101"/>
      <c r="BNA6" s="101"/>
      <c r="BNB6" s="101"/>
      <c r="BNC6" s="101"/>
      <c r="BND6" s="101"/>
      <c r="BNE6" s="101"/>
      <c r="BNF6" s="101"/>
      <c r="BNG6" s="101"/>
      <c r="BNH6" s="101"/>
      <c r="BNI6" s="101"/>
      <c r="BNJ6" s="101"/>
      <c r="BNK6" s="101"/>
      <c r="BNL6" s="101"/>
      <c r="BNM6" s="101"/>
      <c r="BNN6" s="101"/>
      <c r="BNO6" s="101"/>
      <c r="BNP6" s="101"/>
      <c r="BNQ6" s="101"/>
      <c r="BNR6" s="101"/>
      <c r="BNS6" s="101"/>
      <c r="BNT6" s="101"/>
      <c r="BNU6" s="101"/>
      <c r="BNV6" s="101"/>
      <c r="BNW6" s="101"/>
      <c r="BNX6" s="101"/>
      <c r="BNY6" s="101"/>
      <c r="BNZ6" s="101"/>
      <c r="BOA6" s="101"/>
      <c r="BOB6" s="101"/>
      <c r="BOC6" s="101"/>
      <c r="BOD6" s="101"/>
      <c r="BOE6" s="101"/>
      <c r="BOF6" s="101"/>
      <c r="BOG6" s="101"/>
      <c r="BOH6" s="101"/>
      <c r="BOI6" s="101"/>
      <c r="BOJ6" s="101"/>
      <c r="BOK6" s="101"/>
      <c r="BOL6" s="101"/>
      <c r="BOM6" s="101"/>
      <c r="BON6" s="101"/>
      <c r="BOO6" s="101"/>
      <c r="BOP6" s="101"/>
      <c r="BOQ6" s="101"/>
      <c r="BOR6" s="101"/>
      <c r="BOS6" s="101"/>
      <c r="BOT6" s="101"/>
      <c r="BOU6" s="101"/>
      <c r="BOV6" s="101"/>
      <c r="BOW6" s="101"/>
      <c r="BOX6" s="101"/>
      <c r="BOY6" s="101"/>
      <c r="BOZ6" s="101"/>
      <c r="BPA6" s="101"/>
      <c r="BPB6" s="101"/>
      <c r="BPC6" s="101"/>
      <c r="BPD6" s="101"/>
      <c r="BPE6" s="101"/>
      <c r="BPF6" s="101"/>
      <c r="BPG6" s="101"/>
      <c r="BPH6" s="101"/>
      <c r="BPI6" s="101"/>
      <c r="BPJ6" s="101"/>
      <c r="BPK6" s="101"/>
      <c r="BPL6" s="101"/>
      <c r="BPM6" s="101"/>
      <c r="BPN6" s="101"/>
      <c r="BPO6" s="101"/>
      <c r="BPP6" s="101"/>
      <c r="BPQ6" s="101"/>
      <c r="BPR6" s="101"/>
      <c r="BPS6" s="101"/>
      <c r="BPT6" s="101"/>
      <c r="BPU6" s="101"/>
      <c r="BPV6" s="101"/>
      <c r="BPW6" s="101"/>
      <c r="BPX6" s="101"/>
      <c r="BPY6" s="101"/>
      <c r="BPZ6" s="101"/>
      <c r="BQA6" s="101"/>
      <c r="BQB6" s="101"/>
      <c r="BQC6" s="101"/>
      <c r="BQD6" s="101"/>
      <c r="BQE6" s="101"/>
      <c r="BQF6" s="101"/>
      <c r="BQG6" s="101"/>
      <c r="BQH6" s="101"/>
      <c r="BQI6" s="101"/>
      <c r="BQJ6" s="101"/>
      <c r="BQK6" s="101"/>
      <c r="BQL6" s="101"/>
      <c r="BQM6" s="101"/>
      <c r="BQN6" s="101"/>
      <c r="BQO6" s="101"/>
      <c r="BQP6" s="101"/>
      <c r="BQQ6" s="101"/>
      <c r="BQR6" s="101"/>
      <c r="BQS6" s="101"/>
      <c r="BQT6" s="101"/>
      <c r="BQU6" s="101"/>
      <c r="BQV6" s="101"/>
      <c r="BQW6" s="101"/>
      <c r="BQX6" s="101"/>
      <c r="BQY6" s="101"/>
      <c r="BQZ6" s="101"/>
      <c r="BRA6" s="101"/>
      <c r="BRB6" s="101"/>
      <c r="BRC6" s="101"/>
      <c r="BRD6" s="101"/>
      <c r="BRE6" s="101"/>
      <c r="BRF6" s="101"/>
      <c r="BRG6" s="101"/>
      <c r="BRH6" s="101"/>
      <c r="BRI6" s="101"/>
      <c r="BRJ6" s="101"/>
      <c r="BRK6" s="101"/>
      <c r="BRL6" s="101"/>
      <c r="BRM6" s="101"/>
      <c r="BRN6" s="101"/>
      <c r="BRO6" s="101"/>
      <c r="BRP6" s="101"/>
      <c r="BRQ6" s="101"/>
      <c r="BRR6" s="101"/>
      <c r="BRS6" s="101"/>
      <c r="BRT6" s="101"/>
      <c r="BRU6" s="101"/>
      <c r="BRV6" s="101"/>
      <c r="BRW6" s="101"/>
      <c r="BRX6" s="101"/>
      <c r="BRY6" s="101"/>
      <c r="BRZ6" s="101"/>
      <c r="BSA6" s="101"/>
      <c r="BSB6" s="101"/>
      <c r="BSC6" s="101"/>
      <c r="BSD6" s="101"/>
      <c r="BSE6" s="101"/>
      <c r="BSF6" s="101"/>
      <c r="BSG6" s="101"/>
      <c r="BSH6" s="101"/>
      <c r="BSI6" s="101"/>
      <c r="BSJ6" s="101"/>
      <c r="BSK6" s="101"/>
      <c r="BSL6" s="101"/>
      <c r="BSM6" s="101"/>
      <c r="BSN6" s="101"/>
      <c r="BSO6" s="101"/>
      <c r="BSP6" s="101"/>
      <c r="BSQ6" s="101"/>
      <c r="BSR6" s="101"/>
      <c r="BSS6" s="101"/>
      <c r="BST6" s="101"/>
      <c r="BSU6" s="101"/>
      <c r="BSV6" s="101"/>
      <c r="BSW6" s="101"/>
      <c r="BSX6" s="101"/>
      <c r="BSY6" s="101"/>
      <c r="BSZ6" s="101"/>
      <c r="BTA6" s="101"/>
      <c r="BTB6" s="101"/>
      <c r="BTC6" s="101"/>
      <c r="BTD6" s="101"/>
      <c r="BTE6" s="101"/>
      <c r="BTF6" s="101"/>
      <c r="BTG6" s="101"/>
      <c r="BTH6" s="101"/>
      <c r="BTI6" s="101"/>
      <c r="BTJ6" s="101"/>
      <c r="BTK6" s="101"/>
      <c r="BTL6" s="101"/>
      <c r="BTM6" s="101"/>
      <c r="BTN6" s="101"/>
      <c r="BTO6" s="101"/>
      <c r="BTP6" s="101"/>
      <c r="BTQ6" s="101"/>
      <c r="BTR6" s="101"/>
      <c r="BTS6" s="101"/>
      <c r="BTT6" s="101"/>
      <c r="BTU6" s="101"/>
      <c r="BTV6" s="101"/>
      <c r="BTW6" s="101"/>
      <c r="BTX6" s="101"/>
      <c r="BTY6" s="101"/>
      <c r="BTZ6" s="101"/>
      <c r="BUA6" s="101"/>
      <c r="BUB6" s="101"/>
      <c r="BUC6" s="101"/>
      <c r="BUD6" s="101"/>
      <c r="BUE6" s="101"/>
      <c r="BUF6" s="101"/>
      <c r="BUG6" s="101"/>
      <c r="BUH6" s="101"/>
      <c r="BUI6" s="101"/>
      <c r="BUJ6" s="101"/>
      <c r="BUK6" s="101"/>
      <c r="BUL6" s="101"/>
      <c r="BUM6" s="101"/>
      <c r="BUN6" s="101"/>
      <c r="BUO6" s="101"/>
      <c r="BUP6" s="101"/>
      <c r="BUQ6" s="101"/>
      <c r="BUR6" s="101"/>
      <c r="BUS6" s="101"/>
      <c r="BUT6" s="101"/>
      <c r="BUU6" s="101"/>
      <c r="BUV6" s="101"/>
      <c r="BUW6" s="101"/>
      <c r="BUX6" s="101"/>
      <c r="BUY6" s="101"/>
      <c r="BUZ6" s="101"/>
      <c r="BVA6" s="101"/>
      <c r="BVB6" s="101"/>
      <c r="BVC6" s="101"/>
      <c r="BVD6" s="101"/>
      <c r="BVE6" s="101"/>
      <c r="BVF6" s="101"/>
      <c r="BVG6" s="101"/>
      <c r="BVH6" s="101"/>
      <c r="BVI6" s="101"/>
      <c r="BVJ6" s="101"/>
      <c r="BVK6" s="101"/>
      <c r="BVL6" s="101"/>
      <c r="BVM6" s="101"/>
      <c r="BVN6" s="101"/>
      <c r="BVO6" s="101"/>
      <c r="BVP6" s="101"/>
      <c r="BVQ6" s="101"/>
      <c r="BVR6" s="101"/>
      <c r="BVS6" s="101"/>
      <c r="BVT6" s="101"/>
      <c r="BVU6" s="101"/>
      <c r="BVV6" s="101"/>
      <c r="BVW6" s="101"/>
      <c r="BVX6" s="101"/>
      <c r="BVY6" s="101"/>
      <c r="BVZ6" s="101"/>
      <c r="BWA6" s="101"/>
      <c r="BWB6" s="101"/>
      <c r="BWC6" s="101"/>
      <c r="BWD6" s="101"/>
      <c r="BWE6" s="101"/>
      <c r="BWF6" s="101"/>
      <c r="BWG6" s="101"/>
      <c r="BWH6" s="101"/>
      <c r="BWI6" s="101"/>
      <c r="BWJ6" s="101"/>
      <c r="BWK6" s="101"/>
      <c r="BWL6" s="101"/>
      <c r="BWM6" s="101"/>
      <c r="BWN6" s="101"/>
      <c r="BWO6" s="101"/>
      <c r="BWP6" s="101"/>
      <c r="BWQ6" s="101"/>
      <c r="BWR6" s="101"/>
      <c r="BWS6" s="101"/>
      <c r="BWT6" s="101"/>
      <c r="BWU6" s="101"/>
      <c r="BWV6" s="101"/>
      <c r="BWW6" s="101"/>
      <c r="BWX6" s="101"/>
      <c r="BWY6" s="101"/>
      <c r="BWZ6" s="101"/>
      <c r="BXA6" s="101"/>
      <c r="BXB6" s="101"/>
      <c r="BXC6" s="101"/>
      <c r="BXD6" s="101"/>
      <c r="BXE6" s="101"/>
      <c r="BXF6" s="101"/>
      <c r="BXG6" s="101"/>
      <c r="BXH6" s="101"/>
      <c r="BXI6" s="101"/>
      <c r="BXJ6" s="101"/>
      <c r="BXK6" s="101"/>
      <c r="BXL6" s="101"/>
      <c r="BXM6" s="101"/>
      <c r="BXN6" s="101"/>
      <c r="BXO6" s="101"/>
      <c r="BXP6" s="101"/>
      <c r="BXQ6" s="101"/>
      <c r="BXR6" s="101"/>
      <c r="BXS6" s="101"/>
      <c r="BXT6" s="101"/>
      <c r="BXU6" s="101"/>
      <c r="BXV6" s="101"/>
      <c r="BXW6" s="101"/>
      <c r="BXX6" s="101"/>
      <c r="BXY6" s="101"/>
      <c r="BXZ6" s="101"/>
      <c r="BYA6" s="101"/>
      <c r="BYB6" s="101"/>
      <c r="BYC6" s="101"/>
      <c r="BYD6" s="101"/>
      <c r="BYE6" s="101"/>
      <c r="BYF6" s="101"/>
      <c r="BYG6" s="101"/>
      <c r="BYH6" s="101"/>
      <c r="BYI6" s="101"/>
      <c r="BYJ6" s="101"/>
      <c r="BYK6" s="101"/>
      <c r="BYL6" s="101"/>
      <c r="BYM6" s="101"/>
      <c r="BYN6" s="101"/>
      <c r="BYO6" s="101"/>
      <c r="BYP6" s="101"/>
      <c r="BYQ6" s="101"/>
      <c r="BYR6" s="101"/>
      <c r="BYS6" s="101"/>
      <c r="BYT6" s="101"/>
      <c r="BYU6" s="101"/>
      <c r="BYV6" s="101"/>
      <c r="BYW6" s="101"/>
      <c r="BYX6" s="101"/>
      <c r="BYY6" s="101"/>
      <c r="BYZ6" s="101"/>
      <c r="BZA6" s="101"/>
      <c r="BZB6" s="101"/>
      <c r="BZC6" s="101"/>
      <c r="BZD6" s="101"/>
      <c r="BZE6" s="101"/>
      <c r="BZF6" s="101"/>
      <c r="BZG6" s="101"/>
      <c r="BZH6" s="101"/>
      <c r="BZI6" s="101"/>
      <c r="BZJ6" s="101"/>
      <c r="BZK6" s="101"/>
      <c r="BZL6" s="101"/>
      <c r="BZM6" s="101"/>
      <c r="BZN6" s="101"/>
      <c r="BZO6" s="101"/>
      <c r="BZP6" s="101"/>
      <c r="BZQ6" s="101"/>
      <c r="BZR6" s="101"/>
      <c r="BZS6" s="101"/>
      <c r="BZT6" s="101"/>
      <c r="BZU6" s="101"/>
      <c r="BZV6" s="101"/>
      <c r="BZW6" s="101"/>
      <c r="BZX6" s="101"/>
      <c r="BZY6" s="101"/>
      <c r="BZZ6" s="101"/>
      <c r="CAA6" s="101"/>
      <c r="CAB6" s="101"/>
      <c r="CAC6" s="101"/>
      <c r="CAD6" s="101"/>
      <c r="CAE6" s="101"/>
      <c r="CAF6" s="101"/>
      <c r="CAG6" s="101"/>
      <c r="CAH6" s="101"/>
      <c r="CAI6" s="101"/>
      <c r="CAJ6" s="101"/>
      <c r="CAK6" s="101"/>
      <c r="CAL6" s="101"/>
      <c r="CAM6" s="101"/>
      <c r="CAN6" s="101"/>
      <c r="CAO6" s="101"/>
      <c r="CAP6" s="101"/>
      <c r="CAQ6" s="101"/>
      <c r="CAR6" s="101"/>
      <c r="CAS6" s="101"/>
      <c r="CAT6" s="101"/>
      <c r="CAU6" s="101"/>
      <c r="CAV6" s="101"/>
      <c r="CAW6" s="101"/>
      <c r="CAX6" s="101"/>
      <c r="CAY6" s="101"/>
      <c r="CAZ6" s="101"/>
      <c r="CBA6" s="101"/>
      <c r="CBB6" s="101"/>
      <c r="CBC6" s="101"/>
      <c r="CBD6" s="101"/>
      <c r="CBE6" s="101"/>
      <c r="CBF6" s="101"/>
      <c r="CBG6" s="101"/>
      <c r="CBH6" s="101"/>
      <c r="CBI6" s="101"/>
      <c r="CBJ6" s="101"/>
      <c r="CBK6" s="101"/>
      <c r="CBL6" s="101"/>
      <c r="CBM6" s="101"/>
      <c r="CBN6" s="101"/>
      <c r="CBO6" s="101"/>
      <c r="CBP6" s="101"/>
      <c r="CBQ6" s="101"/>
      <c r="CBR6" s="101"/>
      <c r="CBS6" s="101"/>
      <c r="CBT6" s="101"/>
      <c r="CBU6" s="101"/>
      <c r="CBV6" s="101"/>
      <c r="CBW6" s="101"/>
      <c r="CBX6" s="101"/>
      <c r="CBY6" s="101"/>
      <c r="CBZ6" s="101"/>
      <c r="CCA6" s="101"/>
      <c r="CCB6" s="101"/>
      <c r="CCC6" s="101"/>
      <c r="CCD6" s="101"/>
      <c r="CCE6" s="101"/>
      <c r="CCF6" s="101"/>
      <c r="CCG6" s="101"/>
      <c r="CCH6" s="101"/>
      <c r="CCI6" s="101"/>
      <c r="CCJ6" s="101"/>
      <c r="CCK6" s="101"/>
      <c r="CCL6" s="101"/>
      <c r="CCM6" s="101"/>
      <c r="CCN6" s="101"/>
      <c r="CCO6" s="101"/>
      <c r="CCP6" s="101"/>
      <c r="CCQ6" s="101"/>
      <c r="CCR6" s="101"/>
      <c r="CCS6" s="101"/>
      <c r="CCT6" s="101"/>
      <c r="CCU6" s="101"/>
      <c r="CCV6" s="101"/>
    </row>
    <row r="7" spans="1:2129 15008:15068 15384:15392" ht="14.1" customHeight="1" x14ac:dyDescent="0.25">
      <c r="G7" s="100" t="s">
        <v>203</v>
      </c>
      <c r="H7" s="99"/>
      <c r="I7" s="98"/>
      <c r="J7" s="196"/>
      <c r="K7" s="97"/>
      <c r="L7" s="96"/>
      <c r="M7" s="95"/>
      <c r="N7" s="172"/>
      <c r="O7" s="172"/>
      <c r="P7" s="186"/>
      <c r="Q7" s="179"/>
      <c r="R7" s="96"/>
      <c r="S7" s="96"/>
      <c r="T7" s="95"/>
      <c r="U7" s="199"/>
      <c r="V7" s="199"/>
      <c r="W7" s="199"/>
      <c r="X7" s="94"/>
      <c r="Y7" s="94"/>
      <c r="Z7" s="94"/>
      <c r="AA7" s="94"/>
      <c r="AB7" s="94"/>
      <c r="AC7" s="92" t="s">
        <v>205</v>
      </c>
      <c r="AD7" s="92"/>
      <c r="AE7" s="92"/>
      <c r="AF7" s="92"/>
      <c r="AG7" s="92"/>
      <c r="AH7" s="92"/>
      <c r="AI7" s="92"/>
      <c r="AJ7" s="91" t="s">
        <v>206</v>
      </c>
      <c r="AK7" s="91"/>
      <c r="AL7" s="91"/>
      <c r="AM7" s="91"/>
      <c r="AN7" s="91"/>
      <c r="AO7" s="91"/>
      <c r="AP7" s="91"/>
      <c r="AQ7" s="92" t="s">
        <v>207</v>
      </c>
      <c r="AR7" s="92"/>
      <c r="AS7" s="92"/>
      <c r="AT7" s="92"/>
      <c r="AU7" s="92"/>
      <c r="AV7" s="92"/>
      <c r="AW7" s="92"/>
      <c r="AX7" s="91" t="s">
        <v>208</v>
      </c>
      <c r="AY7" s="91"/>
      <c r="AZ7" s="91"/>
      <c r="BA7" s="91"/>
      <c r="BB7" s="91"/>
      <c r="BC7" s="93"/>
      <c r="BD7" s="91"/>
      <c r="BE7" s="92" t="s">
        <v>209</v>
      </c>
      <c r="BF7" s="92"/>
      <c r="BG7" s="92"/>
      <c r="BH7" s="92"/>
      <c r="BI7" s="92"/>
      <c r="BJ7" s="92"/>
      <c r="BK7" s="92"/>
      <c r="BL7" s="91" t="s">
        <v>210</v>
      </c>
      <c r="BM7" s="91"/>
      <c r="BN7" s="91"/>
      <c r="BO7" s="93"/>
      <c r="BP7" s="91"/>
      <c r="BQ7" s="91"/>
      <c r="BR7" s="91"/>
      <c r="BS7" s="92" t="s">
        <v>211</v>
      </c>
      <c r="BT7" s="92"/>
      <c r="BU7" s="92"/>
      <c r="BV7" s="92"/>
      <c r="BW7" s="92"/>
      <c r="BX7" s="92"/>
      <c r="BY7" s="92"/>
      <c r="BZ7" s="91" t="s">
        <v>212</v>
      </c>
      <c r="CA7" s="91"/>
      <c r="CB7" s="91"/>
      <c r="CC7" s="91"/>
      <c r="CD7" s="91"/>
      <c r="CE7" s="91"/>
      <c r="CF7" s="91"/>
      <c r="CG7" s="92"/>
      <c r="CH7" s="92"/>
      <c r="CI7" s="92"/>
      <c r="CJ7" s="92"/>
      <c r="CK7" s="92"/>
      <c r="CL7" s="92"/>
      <c r="CM7" s="92"/>
      <c r="CN7" s="91"/>
      <c r="CO7" s="91"/>
      <c r="CP7" s="91"/>
      <c r="CQ7" s="91"/>
      <c r="CR7" s="91"/>
      <c r="CS7" s="91"/>
      <c r="CT7" s="91"/>
      <c r="CU7" s="92"/>
      <c r="CV7" s="92"/>
      <c r="CW7" s="92"/>
      <c r="CX7" s="92"/>
      <c r="CY7" s="92"/>
      <c r="CZ7" s="92"/>
      <c r="DA7" s="92"/>
      <c r="DB7" s="91"/>
      <c r="DC7" s="91"/>
      <c r="DD7" s="91"/>
      <c r="DE7" s="91"/>
      <c r="DF7" s="91"/>
      <c r="DG7" s="91"/>
      <c r="DH7" s="91"/>
      <c r="DI7" s="92"/>
      <c r="DJ7" s="92"/>
      <c r="DK7" s="92"/>
      <c r="DL7" s="92"/>
      <c r="DM7" s="92"/>
      <c r="DN7" s="92"/>
      <c r="DO7" s="92"/>
      <c r="DP7" s="91"/>
      <c r="DQ7" s="91"/>
      <c r="DR7" s="91"/>
      <c r="DS7" s="91"/>
      <c r="DT7" s="91"/>
      <c r="DU7" s="91"/>
      <c r="DV7" s="91"/>
      <c r="DW7" s="92"/>
      <c r="DX7" s="92"/>
      <c r="DY7" s="92"/>
      <c r="DZ7" s="92"/>
      <c r="EA7" s="92"/>
      <c r="EB7" s="92"/>
      <c r="EC7" s="92"/>
      <c r="ED7" s="91"/>
      <c r="EE7" s="91"/>
      <c r="EF7" s="91"/>
      <c r="EG7" s="91"/>
      <c r="EH7" s="91"/>
      <c r="EI7" s="91"/>
      <c r="EJ7" s="91"/>
      <c r="EK7" s="92"/>
      <c r="EL7" s="92"/>
      <c r="EM7" s="92"/>
      <c r="EN7" s="92"/>
      <c r="EO7" s="92"/>
      <c r="EP7" s="92"/>
      <c r="EQ7" s="92"/>
      <c r="ER7" s="91"/>
      <c r="ES7" s="91"/>
      <c r="ET7" s="91"/>
      <c r="EU7" s="91"/>
      <c r="EV7" s="91"/>
      <c r="EW7" s="91"/>
      <c r="EX7" s="91"/>
      <c r="EY7" s="92"/>
      <c r="EZ7" s="92"/>
      <c r="FA7" s="92"/>
      <c r="FB7" s="92"/>
      <c r="FC7" s="92"/>
      <c r="FD7" s="92"/>
      <c r="FE7" s="92"/>
      <c r="FF7" s="91"/>
      <c r="FG7" s="91"/>
      <c r="FH7" s="91"/>
      <c r="FI7" s="91"/>
      <c r="FJ7" s="91"/>
      <c r="FK7" s="91"/>
      <c r="FL7" s="91"/>
      <c r="FM7" s="92"/>
      <c r="FN7" s="92"/>
      <c r="FO7" s="92"/>
      <c r="FP7" s="92"/>
      <c r="FQ7" s="92"/>
      <c r="FR7" s="92"/>
      <c r="FS7" s="92"/>
      <c r="FT7" s="91"/>
      <c r="FU7" s="91"/>
      <c r="FV7" s="91"/>
      <c r="FW7" s="91"/>
      <c r="FX7" s="91"/>
      <c r="FY7" s="91"/>
      <c r="FZ7" s="91"/>
      <c r="GA7" s="92"/>
      <c r="GB7" s="92"/>
      <c r="GC7" s="92"/>
      <c r="GD7" s="92"/>
      <c r="GE7" s="92"/>
      <c r="GF7" s="92"/>
      <c r="GG7" s="92"/>
      <c r="GH7" s="91"/>
      <c r="GI7" s="91"/>
      <c r="GJ7" s="91"/>
      <c r="GK7" s="91"/>
      <c r="GL7" s="91"/>
      <c r="GM7" s="91"/>
      <c r="GN7" s="91"/>
      <c r="GO7" s="92"/>
      <c r="GP7" s="92"/>
      <c r="GQ7" s="92"/>
      <c r="GR7" s="92"/>
      <c r="GS7" s="92"/>
      <c r="GT7" s="92"/>
      <c r="GU7" s="92"/>
      <c r="GV7" s="91"/>
      <c r="GW7" s="91"/>
      <c r="GX7" s="91"/>
      <c r="GY7" s="91"/>
      <c r="GZ7" s="91"/>
      <c r="HA7" s="91"/>
      <c r="HB7" s="91"/>
      <c r="HC7" s="92"/>
      <c r="HD7" s="92"/>
      <c r="HE7" s="92"/>
      <c r="HF7" s="92"/>
      <c r="HG7" s="92"/>
      <c r="HH7" s="92"/>
      <c r="HI7" s="92"/>
      <c r="HJ7" s="91"/>
      <c r="HK7" s="91"/>
      <c r="HL7" s="91"/>
      <c r="HM7" s="91"/>
      <c r="HN7" s="91"/>
      <c r="HO7" s="91"/>
      <c r="HP7" s="91"/>
      <c r="HQ7" s="92"/>
      <c r="HR7" s="92"/>
      <c r="HS7" s="92"/>
      <c r="HT7" s="92"/>
      <c r="HU7" s="92"/>
      <c r="HV7" s="92"/>
      <c r="HW7" s="92"/>
      <c r="HX7" s="91"/>
      <c r="HY7" s="91"/>
      <c r="HZ7" s="91"/>
      <c r="IA7" s="91"/>
      <c r="IB7" s="91"/>
      <c r="IC7" s="91"/>
      <c r="ID7" s="91"/>
      <c r="IE7" s="92"/>
      <c r="IF7" s="92"/>
      <c r="IG7" s="92"/>
      <c r="IH7" s="92"/>
      <c r="II7" s="92"/>
      <c r="IJ7" s="92"/>
      <c r="IK7" s="92"/>
      <c r="IL7" s="91"/>
      <c r="IM7" s="91"/>
      <c r="IN7" s="91"/>
      <c r="IO7" s="91"/>
      <c r="IP7" s="91"/>
      <c r="IQ7" s="91"/>
      <c r="IR7" s="91"/>
      <c r="IS7" s="92"/>
      <c r="IT7" s="92"/>
      <c r="IU7" s="92"/>
      <c r="IV7" s="92"/>
      <c r="IW7" s="92"/>
      <c r="IX7" s="92"/>
      <c r="IY7" s="92"/>
      <c r="IZ7" s="91"/>
      <c r="JA7" s="91"/>
      <c r="JB7" s="91"/>
      <c r="JC7" s="91"/>
      <c r="JD7" s="91"/>
      <c r="JE7" s="91"/>
      <c r="JF7" s="91"/>
      <c r="JG7" s="92"/>
      <c r="JH7" s="92"/>
      <c r="JI7" s="92"/>
      <c r="JJ7" s="92"/>
      <c r="JK7" s="92"/>
      <c r="JL7" s="92"/>
      <c r="JM7" s="92"/>
      <c r="JN7" s="91"/>
      <c r="JO7" s="91"/>
      <c r="JP7" s="91"/>
      <c r="JQ7" s="91"/>
      <c r="JR7" s="91"/>
      <c r="JS7" s="91"/>
      <c r="JT7" s="91"/>
      <c r="JU7" s="92"/>
      <c r="JV7" s="92"/>
      <c r="JW7" s="92"/>
      <c r="JX7" s="92"/>
      <c r="JY7" s="92"/>
      <c r="JZ7" s="92"/>
      <c r="KA7" s="92"/>
      <c r="KB7" s="91"/>
      <c r="KC7" s="91"/>
      <c r="KD7" s="91"/>
      <c r="KE7" s="91"/>
      <c r="KF7" s="91"/>
      <c r="KG7" s="91"/>
      <c r="KH7" s="91"/>
      <c r="KI7" s="92"/>
      <c r="KJ7" s="92"/>
      <c r="KK7" s="92"/>
      <c r="KL7" s="92"/>
      <c r="KM7" s="92"/>
      <c r="KN7" s="92"/>
      <c r="KO7" s="92"/>
      <c r="KP7" s="91"/>
      <c r="KQ7" s="91"/>
      <c r="KR7" s="91"/>
      <c r="KS7" s="91"/>
      <c r="KT7" s="91"/>
      <c r="KU7" s="91"/>
      <c r="KV7" s="91"/>
      <c r="KW7" s="92"/>
      <c r="KX7" s="92"/>
      <c r="KY7" s="92"/>
      <c r="KZ7" s="92"/>
      <c r="LA7" s="92"/>
      <c r="LB7" s="92"/>
      <c r="LC7" s="92"/>
      <c r="LD7" s="91"/>
      <c r="LE7" s="91"/>
      <c r="LF7" s="91"/>
      <c r="LG7" s="91"/>
      <c r="LH7" s="91"/>
      <c r="LI7" s="91"/>
      <c r="LJ7" s="91"/>
      <c r="LK7" s="92"/>
      <c r="LL7" s="92"/>
      <c r="LM7" s="92"/>
      <c r="LN7" s="92"/>
      <c r="LO7" s="92"/>
      <c r="LP7" s="92"/>
      <c r="LQ7" s="92"/>
      <c r="LR7" s="91"/>
      <c r="LS7" s="91"/>
      <c r="LT7" s="91"/>
      <c r="LU7" s="91"/>
      <c r="LV7" s="91"/>
      <c r="LW7" s="91"/>
      <c r="LX7" s="91"/>
      <c r="LY7" s="92"/>
      <c r="LZ7" s="92"/>
      <c r="MA7" s="92"/>
      <c r="MB7" s="92"/>
      <c r="MC7" s="92"/>
      <c r="MD7" s="92"/>
      <c r="ME7" s="92"/>
      <c r="MF7" s="91"/>
      <c r="MG7" s="91"/>
      <c r="MH7" s="91"/>
      <c r="MI7" s="91"/>
      <c r="MJ7" s="91"/>
      <c r="MK7" s="91"/>
      <c r="ML7" s="91"/>
      <c r="MM7" s="92"/>
      <c r="MN7" s="92"/>
      <c r="MO7" s="92"/>
      <c r="MP7" s="92"/>
      <c r="MQ7" s="92"/>
      <c r="MR7" s="92"/>
      <c r="MS7" s="92"/>
      <c r="MT7" s="91"/>
      <c r="MU7" s="91"/>
      <c r="MV7" s="91"/>
      <c r="MW7" s="91"/>
      <c r="MX7" s="91"/>
      <c r="MY7" s="91"/>
      <c r="MZ7" s="91"/>
      <c r="NA7" s="92"/>
      <c r="NB7" s="92"/>
      <c r="NC7" s="92"/>
      <c r="ND7" s="92"/>
      <c r="NE7" s="92"/>
      <c r="NF7" s="92"/>
      <c r="NG7" s="92"/>
      <c r="NH7" s="91"/>
      <c r="NI7" s="91"/>
      <c r="NJ7" s="91"/>
      <c r="NK7" s="91"/>
      <c r="NL7" s="91"/>
      <c r="NM7" s="91"/>
      <c r="NN7" s="91"/>
      <c r="NO7" s="92"/>
      <c r="NP7" s="92"/>
      <c r="NQ7" s="92"/>
      <c r="NR7" s="92"/>
      <c r="NS7" s="92"/>
      <c r="NT7" s="92"/>
      <c r="NU7" s="92"/>
      <c r="NV7" s="91"/>
      <c r="NW7" s="91"/>
      <c r="NX7" s="91"/>
      <c r="NY7" s="91"/>
      <c r="NZ7" s="91"/>
      <c r="OA7" s="91"/>
      <c r="OB7" s="91"/>
      <c r="OC7" s="92"/>
      <c r="OD7" s="92"/>
      <c r="OE7" s="92"/>
      <c r="OF7" s="92"/>
      <c r="OG7" s="92"/>
      <c r="OH7" s="92"/>
      <c r="OI7" s="92"/>
      <c r="OJ7" s="91"/>
      <c r="OK7" s="91"/>
      <c r="OL7" s="91"/>
      <c r="OM7" s="91"/>
      <c r="ON7" s="91"/>
      <c r="OO7" s="91"/>
      <c r="OP7" s="91"/>
      <c r="OQ7" s="92"/>
      <c r="OR7" s="92"/>
      <c r="OS7" s="92"/>
      <c r="OT7" s="92"/>
      <c r="OU7" s="92"/>
      <c r="OV7" s="92"/>
      <c r="OW7" s="92"/>
      <c r="OX7" s="91"/>
      <c r="OY7" s="91"/>
      <c r="OZ7" s="91"/>
      <c r="PA7" s="91"/>
      <c r="PB7" s="91"/>
      <c r="PC7" s="91"/>
      <c r="PD7" s="91"/>
      <c r="PE7" s="92"/>
      <c r="PF7" s="92"/>
      <c r="PG7" s="92"/>
      <c r="PH7" s="92"/>
      <c r="PI7" s="92"/>
      <c r="PJ7" s="92"/>
      <c r="PK7" s="92"/>
      <c r="PL7" s="91"/>
      <c r="PM7" s="91"/>
      <c r="PN7" s="91"/>
      <c r="PO7" s="91"/>
      <c r="PP7" s="91"/>
      <c r="PQ7" s="91"/>
      <c r="PR7" s="91"/>
      <c r="PS7" s="92"/>
      <c r="PT7" s="92"/>
      <c r="PU7" s="92"/>
      <c r="PV7" s="92"/>
      <c r="PW7" s="92"/>
      <c r="PX7" s="92"/>
      <c r="PY7" s="92"/>
      <c r="PZ7" s="91"/>
      <c r="QA7" s="91"/>
      <c r="QB7" s="91"/>
      <c r="QC7" s="91"/>
      <c r="QD7" s="91"/>
      <c r="QE7" s="91"/>
      <c r="QF7" s="91"/>
      <c r="QG7" s="92"/>
      <c r="QH7" s="92"/>
      <c r="QI7" s="92"/>
      <c r="QJ7" s="92"/>
      <c r="QK7" s="92"/>
      <c r="QL7" s="92"/>
      <c r="QM7" s="92"/>
      <c r="QN7" s="91"/>
      <c r="QO7" s="91"/>
      <c r="QP7" s="91"/>
      <c r="QQ7" s="91"/>
      <c r="QR7" s="91"/>
      <c r="QS7" s="91"/>
      <c r="QT7" s="91"/>
      <c r="QU7" s="92"/>
      <c r="QV7" s="92"/>
      <c r="QW7" s="92"/>
      <c r="QX7" s="92"/>
      <c r="QY7" s="92"/>
      <c r="QZ7" s="92"/>
      <c r="RA7" s="92"/>
      <c r="RB7" s="91"/>
      <c r="RC7" s="91"/>
      <c r="RD7" s="91"/>
      <c r="RE7" s="91"/>
      <c r="RF7" s="91"/>
      <c r="RG7" s="91"/>
      <c r="RH7" s="91"/>
      <c r="RI7" s="92"/>
      <c r="RJ7" s="92"/>
      <c r="RK7" s="92"/>
      <c r="RL7" s="92"/>
      <c r="RM7" s="92"/>
      <c r="RN7" s="92"/>
      <c r="RO7" s="92"/>
      <c r="RP7" s="91"/>
      <c r="RQ7" s="91"/>
      <c r="RR7" s="91"/>
      <c r="RS7" s="91"/>
      <c r="RT7" s="91"/>
      <c r="RU7" s="91"/>
      <c r="RV7" s="91"/>
      <c r="RW7" s="92"/>
      <c r="RX7" s="92"/>
      <c r="RY7" s="92"/>
      <c r="RZ7" s="92"/>
      <c r="SA7" s="92"/>
      <c r="SB7" s="92"/>
      <c r="SC7" s="92"/>
      <c r="SD7" s="91"/>
      <c r="SE7" s="91"/>
      <c r="SF7" s="91"/>
      <c r="SG7" s="91"/>
      <c r="SH7" s="91"/>
      <c r="SI7" s="91"/>
      <c r="SJ7" s="91"/>
      <c r="SK7" s="92"/>
      <c r="SL7" s="92"/>
      <c r="SM7" s="92"/>
      <c r="SN7" s="92"/>
      <c r="SO7" s="92"/>
      <c r="SP7" s="92"/>
      <c r="SQ7" s="92"/>
      <c r="SR7" s="91"/>
      <c r="SS7" s="91"/>
      <c r="ST7" s="91"/>
      <c r="SU7" s="91"/>
      <c r="SV7" s="91"/>
      <c r="SW7" s="91"/>
      <c r="SX7" s="91"/>
      <c r="SY7" s="92"/>
      <c r="SZ7" s="92"/>
      <c r="TA7" s="92"/>
      <c r="TB7" s="92"/>
      <c r="TC7" s="92"/>
      <c r="TD7" s="92"/>
      <c r="TE7" s="92"/>
      <c r="TF7" s="91"/>
      <c r="TG7" s="91"/>
      <c r="TH7" s="91"/>
      <c r="TI7" s="91"/>
      <c r="TJ7" s="91"/>
      <c r="TK7" s="91"/>
      <c r="TL7" s="91"/>
      <c r="TM7" s="92"/>
      <c r="TN7" s="92"/>
      <c r="TO7" s="92"/>
      <c r="TP7" s="92"/>
      <c r="TQ7" s="92"/>
      <c r="TR7" s="92"/>
      <c r="TS7" s="92"/>
      <c r="TT7" s="91"/>
      <c r="TU7" s="91"/>
      <c r="TV7" s="91"/>
      <c r="TW7" s="91"/>
      <c r="TX7" s="91"/>
      <c r="TY7" s="91"/>
      <c r="TZ7" s="91"/>
      <c r="UA7" s="92"/>
      <c r="UB7" s="92"/>
      <c r="UC7" s="92"/>
      <c r="UD7" s="92"/>
      <c r="UE7" s="92"/>
      <c r="UF7" s="92"/>
      <c r="UG7" s="92"/>
      <c r="UH7" s="91"/>
      <c r="UI7" s="91"/>
      <c r="UJ7" s="91"/>
      <c r="UK7" s="91"/>
      <c r="UL7" s="91"/>
      <c r="UM7" s="91"/>
      <c r="UN7" s="91"/>
      <c r="UO7" s="92"/>
      <c r="UP7" s="92"/>
      <c r="UQ7" s="92"/>
      <c r="UR7" s="92"/>
      <c r="US7" s="92"/>
      <c r="UT7" s="92"/>
      <c r="UU7" s="92"/>
      <c r="UV7" s="91"/>
      <c r="UW7" s="91"/>
      <c r="UX7" s="91"/>
      <c r="UY7" s="91"/>
      <c r="UZ7" s="91"/>
      <c r="VA7" s="91"/>
      <c r="VB7" s="91"/>
      <c r="VC7" s="92"/>
      <c r="VD7" s="92"/>
      <c r="VE7" s="92"/>
      <c r="VF7" s="92"/>
      <c r="VG7" s="92"/>
      <c r="VH7" s="92"/>
      <c r="VI7" s="92"/>
      <c r="VJ7" s="91"/>
      <c r="VK7" s="91"/>
      <c r="VL7" s="91"/>
      <c r="VM7" s="91"/>
      <c r="VN7" s="91"/>
      <c r="VO7" s="91"/>
      <c r="VP7" s="91"/>
      <c r="VQ7" s="92"/>
      <c r="VR7" s="92"/>
      <c r="VS7" s="92"/>
      <c r="VT7" s="92"/>
      <c r="VU7" s="92"/>
      <c r="VV7" s="92"/>
      <c r="VW7" s="92"/>
      <c r="VX7" s="91"/>
      <c r="VY7" s="91"/>
      <c r="VZ7" s="91"/>
      <c r="WA7" s="91"/>
      <c r="WB7" s="91"/>
      <c r="WC7" s="91"/>
      <c r="WD7" s="91"/>
      <c r="WE7" s="92"/>
      <c r="WF7" s="92"/>
      <c r="WG7" s="92"/>
      <c r="WH7" s="92"/>
      <c r="WI7" s="92"/>
      <c r="WJ7" s="92"/>
      <c r="WK7" s="92"/>
      <c r="WL7" s="91"/>
      <c r="WM7" s="91"/>
      <c r="WN7" s="91"/>
      <c r="WO7" s="91"/>
      <c r="WP7" s="91"/>
      <c r="WQ7" s="91"/>
      <c r="WR7" s="91"/>
      <c r="WS7" s="92"/>
      <c r="WT7" s="92"/>
      <c r="WU7" s="92"/>
      <c r="WV7" s="92"/>
      <c r="WW7" s="92"/>
      <c r="WX7" s="92"/>
      <c r="WY7" s="92"/>
      <c r="WZ7" s="91"/>
      <c r="XA7" s="91"/>
      <c r="XB7" s="91"/>
      <c r="XC7" s="91"/>
      <c r="XD7" s="91"/>
      <c r="XE7" s="91"/>
      <c r="XF7" s="91"/>
      <c r="XG7" s="92"/>
      <c r="XH7" s="92"/>
      <c r="XI7" s="92"/>
      <c r="XJ7" s="92"/>
      <c r="XK7" s="92"/>
      <c r="XL7" s="92"/>
      <c r="XM7" s="92"/>
      <c r="XN7" s="91"/>
      <c r="XO7" s="91"/>
      <c r="XP7" s="91"/>
      <c r="XQ7" s="91"/>
      <c r="XR7" s="91"/>
      <c r="XS7" s="91"/>
      <c r="XT7" s="91"/>
      <c r="XU7" s="92"/>
      <c r="XV7" s="92"/>
      <c r="XW7" s="92"/>
      <c r="XX7" s="92"/>
      <c r="XY7" s="92"/>
      <c r="XZ7" s="92"/>
      <c r="YA7" s="92"/>
      <c r="YB7" s="91"/>
      <c r="YC7" s="91"/>
      <c r="YD7" s="91"/>
      <c r="YE7" s="91"/>
      <c r="YF7" s="91"/>
      <c r="YG7" s="91"/>
      <c r="YH7" s="91"/>
      <c r="YI7" s="92"/>
      <c r="YJ7" s="92"/>
      <c r="YK7" s="92"/>
      <c r="YL7" s="92"/>
      <c r="YM7" s="92"/>
      <c r="YN7" s="92"/>
      <c r="YO7" s="92"/>
      <c r="YP7" s="91"/>
      <c r="YQ7" s="91"/>
      <c r="YR7" s="91"/>
      <c r="YS7" s="91"/>
      <c r="YT7" s="91"/>
      <c r="YU7" s="91"/>
      <c r="YV7" s="91"/>
      <c r="YW7" s="92"/>
      <c r="YX7" s="92"/>
      <c r="YY7" s="92"/>
      <c r="YZ7" s="92"/>
      <c r="ZA7" s="92"/>
      <c r="ZB7" s="92"/>
      <c r="ZC7" s="92"/>
      <c r="ZD7" s="91"/>
      <c r="ZE7" s="91"/>
      <c r="ZF7" s="91"/>
      <c r="ZG7" s="91"/>
      <c r="ZH7" s="91"/>
      <c r="ZI7" s="91"/>
      <c r="ZJ7" s="91"/>
      <c r="ZK7" s="92"/>
      <c r="ZL7" s="92"/>
      <c r="ZM7" s="92"/>
      <c r="ZN7" s="92"/>
      <c r="ZO7" s="92"/>
      <c r="ZP7" s="92"/>
      <c r="ZQ7" s="92"/>
      <c r="ZR7" s="91"/>
      <c r="ZS7" s="91"/>
      <c r="ZT7" s="91"/>
      <c r="ZU7" s="91"/>
      <c r="ZV7" s="91"/>
      <c r="ZW7" s="91"/>
      <c r="ZX7" s="91"/>
      <c r="ZY7" s="92"/>
      <c r="ZZ7" s="92"/>
      <c r="AAA7" s="92"/>
      <c r="AAB7" s="92"/>
      <c r="AAC7" s="92"/>
      <c r="AAD7" s="92"/>
      <c r="AAE7" s="92"/>
      <c r="AAF7" s="91"/>
      <c r="AAG7" s="91"/>
      <c r="AAH7" s="91"/>
      <c r="AAI7" s="91"/>
      <c r="AAJ7" s="91"/>
      <c r="AAK7" s="91"/>
      <c r="AAL7" s="91"/>
      <c r="AAM7" s="92"/>
      <c r="AAN7" s="92"/>
      <c r="AAO7" s="92"/>
      <c r="AAP7" s="92"/>
      <c r="AAQ7" s="92"/>
      <c r="AAR7" s="92"/>
      <c r="AAS7" s="92"/>
      <c r="AAT7" s="91"/>
      <c r="AAU7" s="91"/>
      <c r="AAV7" s="91"/>
      <c r="AAW7" s="91"/>
      <c r="AAX7" s="91"/>
      <c r="AAY7" s="91"/>
      <c r="AAZ7" s="91"/>
      <c r="ABA7" s="92"/>
      <c r="ABB7" s="92"/>
      <c r="ABC7" s="92"/>
      <c r="ABD7" s="92"/>
      <c r="ABE7" s="92"/>
      <c r="ABF7" s="92"/>
      <c r="ABG7" s="92"/>
      <c r="ABH7" s="91"/>
      <c r="ABI7" s="91"/>
      <c r="ABJ7" s="91"/>
      <c r="ABK7" s="91"/>
      <c r="ABL7" s="91"/>
      <c r="ABM7" s="91"/>
      <c r="ABN7" s="91"/>
      <c r="ABO7" s="92"/>
      <c r="ABP7" s="92"/>
      <c r="ABQ7" s="92"/>
      <c r="ABR7" s="92"/>
      <c r="ABS7" s="92"/>
      <c r="ABT7" s="92"/>
      <c r="ABU7" s="92"/>
      <c r="ABV7" s="91"/>
      <c r="ABW7" s="91"/>
      <c r="ABX7" s="91"/>
      <c r="ABY7" s="91"/>
      <c r="ABZ7" s="91"/>
      <c r="ACA7" s="91"/>
      <c r="ACB7" s="91"/>
      <c r="ACC7" s="92"/>
      <c r="ACD7" s="92"/>
      <c r="ACE7" s="92"/>
      <c r="ACF7" s="92"/>
      <c r="ACG7" s="92"/>
      <c r="ACH7" s="92"/>
      <c r="ACI7" s="92"/>
      <c r="ACJ7" s="91"/>
      <c r="ACK7" s="91"/>
      <c r="ACL7" s="91"/>
      <c r="ACM7" s="91"/>
      <c r="ACN7" s="91"/>
      <c r="ACO7" s="91"/>
      <c r="ACP7" s="91"/>
      <c r="ACQ7" s="92"/>
      <c r="ACR7" s="92"/>
      <c r="ACS7" s="92"/>
      <c r="ACT7" s="92"/>
      <c r="ACU7" s="92"/>
      <c r="ACV7" s="92"/>
      <c r="ACW7" s="92"/>
      <c r="ACX7" s="91"/>
      <c r="ACY7" s="91"/>
      <c r="ACZ7" s="91"/>
      <c r="ADA7" s="91"/>
      <c r="ADB7" s="91"/>
      <c r="ADC7" s="91"/>
      <c r="ADD7" s="91"/>
      <c r="ADE7" s="92"/>
      <c r="ADF7" s="92"/>
      <c r="ADG7" s="92"/>
      <c r="ADH7" s="92"/>
      <c r="ADI7" s="92"/>
      <c r="ADJ7" s="92"/>
      <c r="ADK7" s="92"/>
      <c r="ADL7" s="91"/>
      <c r="ADM7" s="91"/>
      <c r="ADN7" s="91"/>
      <c r="ADO7" s="91"/>
      <c r="ADP7" s="91"/>
      <c r="ADQ7" s="91"/>
      <c r="ADR7" s="91"/>
      <c r="ADS7" s="92"/>
      <c r="ADT7" s="92"/>
      <c r="ADU7" s="92"/>
      <c r="ADV7" s="92"/>
      <c r="ADW7" s="92"/>
      <c r="ADX7" s="92"/>
      <c r="ADY7" s="92"/>
      <c r="ADZ7" s="91"/>
      <c r="AEA7" s="91"/>
      <c r="AEB7" s="91"/>
      <c r="AEC7" s="91"/>
      <c r="AED7" s="91"/>
      <c r="AEE7" s="91"/>
      <c r="AEF7" s="91"/>
      <c r="AEG7" s="92"/>
      <c r="AEH7" s="92"/>
      <c r="AEI7" s="92"/>
      <c r="AEJ7" s="92"/>
      <c r="AEK7" s="92"/>
      <c r="AEL7" s="92"/>
      <c r="AEM7" s="92"/>
      <c r="AEN7" s="91"/>
      <c r="AEO7" s="91"/>
      <c r="AEP7" s="91"/>
      <c r="AEQ7" s="91"/>
      <c r="AER7" s="91"/>
      <c r="AES7" s="91"/>
      <c r="AET7" s="91"/>
      <c r="AEU7" s="92"/>
      <c r="AEV7" s="92"/>
      <c r="AEW7" s="92"/>
      <c r="AEX7" s="92"/>
      <c r="AEY7" s="92"/>
      <c r="AEZ7" s="92"/>
      <c r="AFA7" s="92"/>
      <c r="AFB7" s="91"/>
      <c r="AFC7" s="91"/>
      <c r="AFD7" s="91"/>
      <c r="AFE7" s="91"/>
      <c r="AFF7" s="91"/>
      <c r="AFG7" s="91"/>
      <c r="AFH7" s="91"/>
      <c r="AFI7" s="92"/>
      <c r="AFJ7" s="92"/>
      <c r="AFK7" s="92"/>
      <c r="AFL7" s="92"/>
      <c r="AFM7" s="92"/>
      <c r="AFN7" s="92"/>
      <c r="AFO7" s="92"/>
      <c r="AFP7" s="91"/>
      <c r="AFQ7" s="91"/>
      <c r="AFR7" s="91"/>
      <c r="AFS7" s="91"/>
      <c r="AFT7" s="91"/>
      <c r="AFU7" s="91"/>
      <c r="AFV7" s="91"/>
      <c r="AFW7" s="92"/>
      <c r="AFX7" s="92"/>
      <c r="AFY7" s="92"/>
      <c r="AFZ7" s="92"/>
      <c r="AGA7" s="92"/>
      <c r="AGB7" s="92"/>
      <c r="AGC7" s="92"/>
      <c r="AGD7" s="91"/>
      <c r="AGE7" s="91"/>
      <c r="AGF7" s="91"/>
      <c r="AGG7" s="91"/>
      <c r="AGH7" s="91"/>
      <c r="AGI7" s="91"/>
      <c r="AGJ7" s="91"/>
      <c r="AGK7" s="92"/>
      <c r="AGL7" s="92"/>
      <c r="AGM7" s="92"/>
      <c r="AGN7" s="92"/>
      <c r="AGO7" s="92"/>
      <c r="AGP7" s="92"/>
      <c r="AGQ7" s="92"/>
      <c r="AGR7" s="91"/>
      <c r="AGS7" s="91"/>
      <c r="AGT7" s="91"/>
      <c r="AGU7" s="91"/>
      <c r="AGV7" s="91"/>
      <c r="AGW7" s="91"/>
      <c r="AGX7" s="91"/>
      <c r="AGY7" s="92"/>
      <c r="AGZ7" s="92"/>
      <c r="AHA7" s="92"/>
      <c r="AHB7" s="92"/>
      <c r="AHC7" s="92"/>
      <c r="AHD7" s="92"/>
      <c r="AHE7" s="92"/>
      <c r="AHF7" s="91"/>
      <c r="AHG7" s="91"/>
      <c r="AHH7" s="91"/>
      <c r="AHI7" s="91"/>
      <c r="AHJ7" s="91"/>
      <c r="AHK7" s="91"/>
      <c r="AHL7" s="91"/>
      <c r="AHM7" s="92"/>
      <c r="AHN7" s="92"/>
      <c r="AHO7" s="92"/>
      <c r="AHP7" s="92"/>
      <c r="AHQ7" s="92"/>
      <c r="AHR7" s="92"/>
      <c r="AHS7" s="92"/>
      <c r="AHT7" s="91"/>
      <c r="AHU7" s="91"/>
      <c r="AHV7" s="91"/>
      <c r="AHW7" s="91"/>
      <c r="AHX7" s="91"/>
      <c r="AHY7" s="91"/>
      <c r="AHZ7" s="91"/>
      <c r="AIA7" s="92"/>
      <c r="AIB7" s="92"/>
      <c r="AIC7" s="92"/>
      <c r="AID7" s="92"/>
      <c r="AIE7" s="92"/>
      <c r="AIF7" s="92"/>
      <c r="AIG7" s="92"/>
      <c r="AIH7" s="91"/>
      <c r="AII7" s="91"/>
      <c r="AIJ7" s="91"/>
      <c r="AIK7" s="91"/>
      <c r="AIL7" s="91"/>
      <c r="AIM7" s="91"/>
      <c r="AIN7" s="91"/>
      <c r="AIO7" s="92"/>
      <c r="AIP7" s="92"/>
      <c r="AIQ7" s="92"/>
      <c r="AIR7" s="92"/>
      <c r="AIS7" s="92"/>
      <c r="AIT7" s="92"/>
      <c r="AIU7" s="92"/>
      <c r="AIV7" s="91"/>
      <c r="AIW7" s="91"/>
      <c r="AIX7" s="91"/>
      <c r="AIY7" s="91"/>
      <c r="AIZ7" s="91"/>
      <c r="AJA7" s="91"/>
      <c r="AJB7" s="91"/>
      <c r="AJC7" s="92"/>
      <c r="AJD7" s="92"/>
      <c r="AJE7" s="92"/>
      <c r="AJF7" s="92"/>
      <c r="AJG7" s="92"/>
      <c r="AJH7" s="92"/>
      <c r="AJI7" s="92"/>
      <c r="AJJ7" s="91"/>
      <c r="AJK7" s="91"/>
      <c r="AJL7" s="91"/>
      <c r="AJM7" s="91"/>
      <c r="AJN7" s="91"/>
      <c r="AJO7" s="91"/>
      <c r="AJP7" s="91"/>
      <c r="AJQ7" s="92"/>
      <c r="AJR7" s="92"/>
      <c r="AJS7" s="92"/>
      <c r="AJT7" s="92"/>
      <c r="AJU7" s="92"/>
      <c r="AJV7" s="92"/>
      <c r="AJW7" s="92"/>
      <c r="AJX7" s="91"/>
      <c r="AJY7" s="91"/>
      <c r="AJZ7" s="91"/>
      <c r="AKA7" s="91"/>
      <c r="AKB7" s="91"/>
      <c r="AKC7" s="91"/>
      <c r="AKD7" s="91"/>
      <c r="AKE7" s="92"/>
      <c r="AKF7" s="92"/>
      <c r="AKG7" s="92"/>
      <c r="AKH7" s="92"/>
      <c r="AKI7" s="92"/>
      <c r="AKJ7" s="92"/>
      <c r="AKK7" s="92"/>
      <c r="AKL7" s="91"/>
      <c r="AKM7" s="91"/>
      <c r="AKN7" s="91"/>
      <c r="AKO7" s="91"/>
      <c r="AKP7" s="91"/>
      <c r="AKQ7" s="91"/>
      <c r="AKR7" s="91"/>
      <c r="AKS7" s="92"/>
      <c r="AKT7" s="92"/>
      <c r="AKU7" s="92"/>
      <c r="AKV7" s="92"/>
      <c r="AKW7" s="92"/>
      <c r="AKX7" s="92"/>
      <c r="AKY7" s="92"/>
      <c r="AKZ7" s="91"/>
      <c r="ALA7" s="91"/>
      <c r="ALB7" s="91"/>
      <c r="ALC7" s="91"/>
      <c r="ALD7" s="91"/>
      <c r="ALE7" s="91"/>
      <c r="ALF7" s="91"/>
      <c r="ALG7" s="92"/>
      <c r="ALH7" s="92"/>
      <c r="ALI7" s="92"/>
      <c r="ALJ7" s="92"/>
      <c r="ALK7" s="92"/>
      <c r="ALL7" s="92"/>
      <c r="ALM7" s="92"/>
      <c r="ALN7" s="91"/>
      <c r="ALO7" s="91"/>
      <c r="ALP7" s="91"/>
      <c r="ALQ7" s="91"/>
      <c r="ALR7" s="91"/>
      <c r="ALS7" s="91"/>
      <c r="ALT7" s="91"/>
      <c r="ALU7" s="92"/>
      <c r="ALV7" s="92"/>
      <c r="ALW7" s="92"/>
      <c r="ALX7" s="92"/>
      <c r="ALY7" s="92"/>
      <c r="ALZ7" s="92"/>
      <c r="AMA7" s="92"/>
      <c r="AMB7" s="91"/>
      <c r="AMC7" s="91"/>
      <c r="AMD7" s="91"/>
      <c r="AME7" s="91"/>
      <c r="AMF7" s="91"/>
      <c r="AMG7" s="91"/>
      <c r="AMH7" s="91"/>
      <c r="AMI7" s="92"/>
      <c r="AMJ7" s="92"/>
      <c r="AMK7" s="92"/>
      <c r="AML7" s="92"/>
      <c r="AMM7" s="92"/>
      <c r="AMN7" s="92"/>
      <c r="AMO7" s="92"/>
      <c r="AMP7" s="91"/>
      <c r="AMQ7" s="91"/>
      <c r="AMR7" s="91"/>
      <c r="AMS7" s="91"/>
      <c r="AMT7" s="91"/>
      <c r="AMU7" s="91"/>
      <c r="AMV7" s="91"/>
      <c r="AMW7" s="92"/>
      <c r="AMX7" s="92"/>
      <c r="AMY7" s="92"/>
      <c r="AMZ7" s="92"/>
      <c r="ANA7" s="92"/>
      <c r="ANB7" s="92"/>
      <c r="ANC7" s="92"/>
      <c r="AND7" s="91"/>
      <c r="ANE7" s="91"/>
      <c r="ANF7" s="91"/>
      <c r="ANG7" s="91"/>
      <c r="ANH7" s="91"/>
      <c r="ANI7" s="91"/>
      <c r="ANJ7" s="91"/>
      <c r="ANK7" s="92"/>
      <c r="ANL7" s="92"/>
      <c r="ANM7" s="92"/>
      <c r="ANN7" s="92"/>
      <c r="ANO7" s="92"/>
      <c r="ANP7" s="92"/>
      <c r="ANQ7" s="92"/>
      <c r="ANR7" s="91"/>
      <c r="ANS7" s="91"/>
      <c r="ANT7" s="91"/>
      <c r="ANU7" s="91"/>
      <c r="ANV7" s="91"/>
      <c r="ANW7" s="91"/>
      <c r="ANX7" s="91"/>
      <c r="ANY7" s="92"/>
      <c r="ANZ7" s="92"/>
      <c r="AOA7" s="92"/>
      <c r="AOB7" s="92"/>
      <c r="AOC7" s="92"/>
      <c r="AOD7" s="92"/>
      <c r="AOE7" s="92"/>
      <c r="AOF7" s="91"/>
      <c r="AOG7" s="91"/>
      <c r="AOH7" s="91"/>
      <c r="AOI7" s="91"/>
      <c r="AOJ7" s="91"/>
      <c r="AOK7" s="91"/>
      <c r="AOL7" s="91"/>
      <c r="AOM7" s="92"/>
      <c r="AON7" s="92"/>
      <c r="AOO7" s="92"/>
      <c r="AOP7" s="92"/>
      <c r="AOQ7" s="92"/>
      <c r="AOR7" s="92"/>
      <c r="AOS7" s="92"/>
      <c r="AOT7" s="91"/>
      <c r="AOU7" s="91"/>
      <c r="AOV7" s="91"/>
      <c r="AOW7" s="91"/>
      <c r="AOX7" s="91"/>
      <c r="AOY7" s="91"/>
      <c r="AOZ7" s="91"/>
      <c r="APA7" s="92"/>
      <c r="APB7" s="92"/>
      <c r="APC7" s="92"/>
      <c r="APD7" s="92"/>
      <c r="APE7" s="92"/>
      <c r="APF7" s="92"/>
      <c r="APG7" s="92"/>
      <c r="APH7" s="91"/>
      <c r="API7" s="91"/>
      <c r="APJ7" s="91"/>
      <c r="APK7" s="91"/>
      <c r="APL7" s="91"/>
      <c r="APM7" s="91"/>
      <c r="APN7" s="91"/>
      <c r="APO7" s="92"/>
      <c r="APP7" s="92"/>
      <c r="APQ7" s="92"/>
      <c r="APR7" s="92"/>
      <c r="APS7" s="92"/>
      <c r="APT7" s="92"/>
      <c r="APU7" s="92"/>
      <c r="APV7" s="91"/>
      <c r="APW7" s="91"/>
      <c r="APX7" s="91"/>
      <c r="APY7" s="91"/>
      <c r="APZ7" s="91"/>
      <c r="AQA7" s="91"/>
      <c r="AQB7" s="91"/>
      <c r="AQC7" s="92"/>
      <c r="AQD7" s="92"/>
      <c r="AQE7" s="92"/>
      <c r="AQF7" s="92"/>
      <c r="AQG7" s="92"/>
      <c r="AQH7" s="92"/>
      <c r="AQI7" s="92"/>
      <c r="AQJ7" s="91"/>
      <c r="AQK7" s="91"/>
      <c r="AQL7" s="91"/>
      <c r="AQM7" s="91"/>
      <c r="AQN7" s="91"/>
      <c r="AQO7" s="91"/>
      <c r="AQP7" s="91"/>
      <c r="AQQ7" s="92"/>
      <c r="AQR7" s="92"/>
      <c r="AQS7" s="92"/>
      <c r="AQT7" s="92"/>
      <c r="AQU7" s="92"/>
      <c r="AQV7" s="92"/>
      <c r="AQW7" s="92"/>
      <c r="AQX7" s="91"/>
      <c r="AQY7" s="91"/>
      <c r="AQZ7" s="91"/>
      <c r="ARA7" s="91"/>
      <c r="ARB7" s="91"/>
      <c r="ARC7" s="91"/>
      <c r="ARD7" s="91"/>
      <c r="ARE7" s="92"/>
      <c r="ARF7" s="92"/>
      <c r="ARG7" s="92"/>
      <c r="ARH7" s="92"/>
      <c r="ARI7" s="92"/>
      <c r="ARJ7" s="92"/>
      <c r="ARK7" s="92"/>
      <c r="ARL7" s="91"/>
      <c r="ARM7" s="91"/>
      <c r="ARN7" s="91"/>
      <c r="ARO7" s="91"/>
      <c r="ARP7" s="91"/>
      <c r="ARQ7" s="91"/>
      <c r="ARR7" s="91"/>
      <c r="ARS7" s="92"/>
      <c r="ART7" s="92"/>
      <c r="ARU7" s="92"/>
      <c r="ARV7" s="92"/>
      <c r="ARW7" s="92"/>
      <c r="ARX7" s="92"/>
      <c r="ARY7" s="92"/>
      <c r="ARZ7" s="91"/>
      <c r="ASA7" s="91"/>
      <c r="ASB7" s="91"/>
      <c r="ASC7" s="91"/>
      <c r="ASD7" s="91"/>
      <c r="ASE7" s="91"/>
      <c r="ASF7" s="91"/>
      <c r="ASG7" s="92"/>
      <c r="ASH7" s="92"/>
      <c r="ASI7" s="92"/>
      <c r="ASJ7" s="92"/>
      <c r="ASK7" s="92"/>
      <c r="ASL7" s="92"/>
      <c r="ASM7" s="92"/>
      <c r="ASN7" s="91"/>
      <c r="ASO7" s="91"/>
      <c r="ASP7" s="91"/>
      <c r="ASQ7" s="91"/>
      <c r="ASR7" s="91"/>
      <c r="ASS7" s="91"/>
      <c r="AST7" s="91"/>
      <c r="ASU7" s="92"/>
      <c r="ASV7" s="92"/>
      <c r="ASW7" s="92"/>
      <c r="ASX7" s="92"/>
      <c r="ASY7" s="92"/>
      <c r="ASZ7" s="92"/>
      <c r="ATA7" s="92"/>
      <c r="ATB7" s="91"/>
      <c r="ATC7" s="91"/>
      <c r="ATD7" s="91"/>
      <c r="ATE7" s="91"/>
      <c r="ATF7" s="91"/>
      <c r="ATG7" s="91"/>
      <c r="ATH7" s="91"/>
      <c r="ATI7" s="92"/>
      <c r="ATJ7" s="92"/>
      <c r="ATK7" s="92"/>
      <c r="ATL7" s="92"/>
      <c r="ATM7" s="92"/>
      <c r="ATN7" s="92"/>
      <c r="ATO7" s="92"/>
      <c r="ATP7" s="91"/>
      <c r="ATQ7" s="91"/>
      <c r="ATR7" s="91"/>
      <c r="ATS7" s="91"/>
      <c r="ATT7" s="91"/>
      <c r="ATU7" s="91"/>
      <c r="ATV7" s="91"/>
      <c r="ATW7" s="92"/>
      <c r="ATX7" s="92"/>
      <c r="ATY7" s="92"/>
      <c r="ATZ7" s="92"/>
      <c r="AUA7" s="92"/>
      <c r="AUB7" s="92"/>
      <c r="AUC7" s="92"/>
      <c r="AUD7" s="91"/>
      <c r="AUE7" s="91"/>
      <c r="AUF7" s="91"/>
      <c r="AUG7" s="91"/>
      <c r="AUH7" s="91"/>
      <c r="AUI7" s="91"/>
      <c r="AUJ7" s="91"/>
      <c r="AUK7" s="92"/>
      <c r="AUL7" s="92"/>
      <c r="AUM7" s="92"/>
      <c r="AUN7" s="92"/>
      <c r="AUO7" s="92"/>
      <c r="AUP7" s="92"/>
      <c r="AUQ7" s="92"/>
      <c r="AUR7" s="91"/>
      <c r="AUS7" s="91"/>
      <c r="AUT7" s="91"/>
      <c r="AUU7" s="91"/>
      <c r="AUV7" s="91"/>
      <c r="AUW7" s="91"/>
      <c r="AUX7" s="91"/>
      <c r="AUY7" s="92"/>
      <c r="AUZ7" s="92"/>
      <c r="AVA7" s="92"/>
      <c r="AVB7" s="92"/>
      <c r="AVC7" s="92"/>
      <c r="AVD7" s="92"/>
      <c r="AVE7" s="92"/>
      <c r="AVF7" s="91"/>
      <c r="AVG7" s="91"/>
      <c r="AVH7" s="91"/>
      <c r="AVI7" s="91"/>
      <c r="AVJ7" s="91"/>
      <c r="AVK7" s="91"/>
      <c r="AVL7" s="91"/>
      <c r="AVM7" s="92"/>
      <c r="AVN7" s="92"/>
      <c r="AVO7" s="92"/>
      <c r="AVP7" s="92"/>
      <c r="AVQ7" s="92"/>
      <c r="AVR7" s="92"/>
      <c r="AVS7" s="92"/>
      <c r="AVT7" s="91"/>
      <c r="AVU7" s="91"/>
      <c r="AVV7" s="91"/>
      <c r="AVW7" s="91"/>
      <c r="AVX7" s="91"/>
      <c r="AVY7" s="91"/>
      <c r="AVZ7" s="91"/>
      <c r="AWA7" s="92"/>
      <c r="AWB7" s="92"/>
      <c r="AWC7" s="92"/>
      <c r="AWD7" s="92"/>
      <c r="AWE7" s="92"/>
      <c r="AWF7" s="92"/>
      <c r="AWG7" s="92"/>
      <c r="AWH7" s="91"/>
      <c r="AWI7" s="91"/>
      <c r="AWJ7" s="91"/>
      <c r="AWK7" s="91"/>
      <c r="AWL7" s="91"/>
      <c r="AWM7" s="91"/>
      <c r="AWN7" s="91"/>
      <c r="AWO7" s="92"/>
      <c r="AWP7" s="92"/>
      <c r="AWQ7" s="92"/>
      <c r="AWR7" s="92"/>
      <c r="AWS7" s="92"/>
      <c r="AWT7" s="92"/>
      <c r="AWU7" s="92"/>
      <c r="AWV7" s="91"/>
      <c r="AWW7" s="91"/>
      <c r="AWX7" s="91"/>
      <c r="AWY7" s="91"/>
      <c r="AWZ7" s="91"/>
      <c r="AXA7" s="91"/>
      <c r="AXB7" s="91"/>
      <c r="AXC7" s="92"/>
      <c r="AXD7" s="92"/>
      <c r="AXE7" s="92"/>
      <c r="AXF7" s="92"/>
      <c r="AXG7" s="92"/>
      <c r="AXH7" s="92"/>
      <c r="AXI7" s="92"/>
      <c r="AXJ7" s="91"/>
      <c r="AXK7" s="91"/>
      <c r="AXL7" s="91"/>
      <c r="AXM7" s="91"/>
      <c r="AXN7" s="91"/>
      <c r="AXO7" s="91"/>
      <c r="AXP7" s="91"/>
      <c r="AXQ7" s="92"/>
      <c r="AXR7" s="92"/>
      <c r="AXS7" s="92"/>
      <c r="AXT7" s="92"/>
      <c r="AXU7" s="92"/>
      <c r="AXV7" s="92"/>
      <c r="AXW7" s="92"/>
      <c r="AXX7" s="91"/>
      <c r="AXY7" s="91"/>
      <c r="AXZ7" s="91"/>
      <c r="AYA7" s="91"/>
      <c r="AYB7" s="91"/>
      <c r="AYC7" s="91"/>
      <c r="AYD7" s="91"/>
      <c r="AYE7" s="92"/>
      <c r="AYF7" s="92"/>
      <c r="AYG7" s="92"/>
      <c r="AYH7" s="92"/>
      <c r="AYI7" s="92"/>
      <c r="AYJ7" s="92"/>
      <c r="AYK7" s="92"/>
      <c r="AYL7" s="91"/>
      <c r="AYM7" s="91"/>
      <c r="AYN7" s="91"/>
      <c r="AYO7" s="91"/>
      <c r="AYP7" s="91"/>
      <c r="AYQ7" s="91"/>
      <c r="AYR7" s="91"/>
      <c r="AYS7" s="92"/>
      <c r="AYT7" s="92"/>
      <c r="AYU7" s="92"/>
      <c r="AYV7" s="92"/>
      <c r="AYW7" s="92"/>
      <c r="AYX7" s="92"/>
      <c r="AYY7" s="92"/>
      <c r="AYZ7" s="91"/>
      <c r="AZA7" s="91"/>
      <c r="AZB7" s="91"/>
      <c r="AZC7" s="91"/>
      <c r="AZD7" s="91"/>
      <c r="AZE7" s="91"/>
      <c r="AZF7" s="91"/>
      <c r="AZG7" s="92"/>
      <c r="AZH7" s="92"/>
      <c r="AZI7" s="92"/>
      <c r="AZJ7" s="92"/>
      <c r="AZK7" s="92"/>
      <c r="AZL7" s="92"/>
      <c r="AZM7" s="92"/>
      <c r="AZN7" s="91"/>
      <c r="AZO7" s="91"/>
      <c r="AZP7" s="91"/>
      <c r="AZQ7" s="91"/>
      <c r="AZR7" s="91"/>
      <c r="AZS7" s="91"/>
      <c r="AZT7" s="91"/>
      <c r="AZU7" s="92"/>
      <c r="AZV7" s="92"/>
      <c r="AZW7" s="92"/>
      <c r="AZX7" s="92"/>
      <c r="AZY7" s="92"/>
      <c r="AZZ7" s="92"/>
      <c r="BAA7" s="92"/>
      <c r="BAB7" s="91"/>
      <c r="BAC7" s="91"/>
      <c r="BAD7" s="91"/>
      <c r="BAE7" s="91"/>
      <c r="BAF7" s="91"/>
      <c r="BAG7" s="91"/>
      <c r="BAH7" s="91"/>
      <c r="BAI7" s="92"/>
      <c r="BAJ7" s="92"/>
      <c r="BAK7" s="92"/>
      <c r="BAL7" s="92"/>
      <c r="BAM7" s="92"/>
      <c r="BAN7" s="92"/>
      <c r="BAO7" s="92"/>
      <c r="BAP7" s="91"/>
      <c r="BAQ7" s="91"/>
      <c r="BAR7" s="91"/>
      <c r="BAS7" s="91"/>
      <c r="BAT7" s="91"/>
      <c r="BAU7" s="91"/>
      <c r="BAV7" s="91"/>
      <c r="BAW7" s="92"/>
      <c r="BAX7" s="92"/>
      <c r="BAY7" s="92"/>
      <c r="BAZ7" s="92"/>
      <c r="BBA7" s="92"/>
      <c r="BBB7" s="92"/>
      <c r="BBC7" s="92"/>
      <c r="BBD7" s="91"/>
      <c r="BBE7" s="91"/>
      <c r="BBF7" s="91"/>
      <c r="BBG7" s="91"/>
      <c r="BBH7" s="91"/>
      <c r="BBI7" s="91"/>
      <c r="BBJ7" s="91"/>
      <c r="BBK7" s="92"/>
      <c r="BBL7" s="92"/>
      <c r="BBM7" s="92"/>
      <c r="BBN7" s="92"/>
      <c r="BBO7" s="92"/>
      <c r="BBP7" s="92"/>
      <c r="BBQ7" s="92"/>
      <c r="BBR7" s="91"/>
      <c r="BBS7" s="91"/>
      <c r="BBT7" s="91"/>
      <c r="BBU7" s="91"/>
      <c r="BBV7" s="91"/>
      <c r="BBW7" s="91"/>
      <c r="BBX7" s="91"/>
      <c r="BBY7" s="92"/>
      <c r="BBZ7" s="92"/>
      <c r="BCA7" s="92"/>
      <c r="BCB7" s="92"/>
      <c r="BCC7" s="92"/>
      <c r="BCD7" s="92"/>
      <c r="BCE7" s="92"/>
      <c r="BCF7" s="91"/>
      <c r="BCG7" s="91"/>
      <c r="BCH7" s="91"/>
      <c r="BCI7" s="91"/>
      <c r="BCJ7" s="91"/>
      <c r="BCK7" s="91"/>
      <c r="BCL7" s="91"/>
      <c r="BCM7" s="92"/>
      <c r="BCN7" s="92"/>
      <c r="BCO7" s="92"/>
      <c r="BCP7" s="92"/>
      <c r="BCQ7" s="92"/>
      <c r="BCR7" s="92"/>
      <c r="BCS7" s="92"/>
      <c r="BCT7" s="91"/>
      <c r="BCU7" s="91"/>
      <c r="BCV7" s="91"/>
      <c r="BCW7" s="91"/>
      <c r="BCX7" s="91"/>
      <c r="BCY7" s="91"/>
      <c r="BCZ7" s="91"/>
      <c r="BDA7" s="92"/>
      <c r="BDB7" s="92"/>
      <c r="BDC7" s="92"/>
      <c r="BDD7" s="92"/>
      <c r="BDE7" s="92"/>
      <c r="BDF7" s="92"/>
      <c r="BDG7" s="92"/>
      <c r="BDH7" s="91"/>
      <c r="BDI7" s="91"/>
      <c r="BDJ7" s="91"/>
      <c r="BDK7" s="91"/>
      <c r="BDL7" s="91"/>
      <c r="BDM7" s="91"/>
      <c r="BDN7" s="91"/>
      <c r="BDO7" s="92"/>
      <c r="BDP7" s="92"/>
      <c r="BDQ7" s="92"/>
      <c r="BDR7" s="92"/>
      <c r="BDS7" s="92"/>
      <c r="BDT7" s="92"/>
      <c r="BDU7" s="92"/>
      <c r="BDV7" s="91"/>
      <c r="BDW7" s="91"/>
      <c r="BDX7" s="91"/>
      <c r="BDY7" s="91"/>
      <c r="BDZ7" s="91"/>
      <c r="BEA7" s="91"/>
      <c r="BEB7" s="91"/>
      <c r="BEC7" s="92"/>
      <c r="BED7" s="92"/>
      <c r="BEE7" s="92"/>
      <c r="BEF7" s="92"/>
      <c r="BEG7" s="92"/>
      <c r="BEH7" s="92"/>
      <c r="BEI7" s="92"/>
      <c r="BEJ7" s="91"/>
      <c r="BEK7" s="91"/>
      <c r="BEL7" s="91"/>
      <c r="BEM7" s="91"/>
      <c r="BEN7" s="91"/>
      <c r="BEO7" s="91"/>
      <c r="BEP7" s="91"/>
      <c r="BEQ7" s="92"/>
      <c r="BER7" s="92"/>
      <c r="BES7" s="92"/>
      <c r="BET7" s="92"/>
      <c r="BEU7" s="92"/>
      <c r="BEV7" s="92"/>
      <c r="BEW7" s="92"/>
      <c r="BEX7" s="91"/>
      <c r="BEY7" s="91"/>
      <c r="BEZ7" s="91"/>
      <c r="BFA7" s="91"/>
      <c r="BFB7" s="91"/>
      <c r="BFC7" s="91"/>
      <c r="BFD7" s="91"/>
      <c r="BFE7" s="92"/>
      <c r="BFF7" s="92"/>
      <c r="BFG7" s="92"/>
      <c r="BFH7" s="92"/>
      <c r="BFI7" s="92"/>
      <c r="BFJ7" s="92"/>
      <c r="BFK7" s="92"/>
      <c r="BFL7" s="91"/>
      <c r="BFM7" s="91"/>
      <c r="BFN7" s="91"/>
      <c r="BFO7" s="91"/>
      <c r="BFP7" s="91"/>
      <c r="BFQ7" s="91"/>
      <c r="BFR7" s="91"/>
      <c r="BFS7" s="92"/>
      <c r="BFT7" s="92"/>
      <c r="BFU7" s="92"/>
      <c r="BFV7" s="92"/>
      <c r="BFW7" s="92"/>
      <c r="BFX7" s="92"/>
      <c r="BFY7" s="92"/>
      <c r="BFZ7" s="91"/>
      <c r="BGA7" s="91"/>
      <c r="BGB7" s="91"/>
      <c r="BGC7" s="91"/>
      <c r="BGD7" s="91"/>
      <c r="BGE7" s="91"/>
      <c r="BGF7" s="91"/>
      <c r="BGG7" s="92"/>
      <c r="BGH7" s="92"/>
      <c r="BGI7" s="92"/>
      <c r="BGJ7" s="92"/>
      <c r="BGK7" s="92"/>
      <c r="BGL7" s="92"/>
      <c r="BGM7" s="92"/>
      <c r="BGN7" s="91"/>
      <c r="BGO7" s="91"/>
      <c r="BGP7" s="91"/>
      <c r="BGQ7" s="91"/>
      <c r="BGR7" s="91"/>
      <c r="BGS7" s="91"/>
      <c r="BGT7" s="91"/>
      <c r="BGU7" s="92"/>
      <c r="BGV7" s="92"/>
      <c r="BGW7" s="92"/>
      <c r="BGX7" s="92"/>
      <c r="BGY7" s="92"/>
      <c r="BGZ7" s="92"/>
      <c r="BHA7" s="92"/>
      <c r="BHB7" s="91"/>
      <c r="BHC7" s="91"/>
      <c r="BHD7" s="91"/>
      <c r="BHE7" s="91"/>
      <c r="BHF7" s="91"/>
      <c r="BHG7" s="91"/>
      <c r="BHH7" s="91"/>
      <c r="BHI7" s="92"/>
      <c r="BHJ7" s="92"/>
      <c r="BHK7" s="92"/>
      <c r="BHL7" s="92"/>
      <c r="BHM7" s="92"/>
      <c r="BHN7" s="92"/>
      <c r="BHO7" s="92"/>
      <c r="BHP7" s="91"/>
      <c r="BHQ7" s="91"/>
      <c r="BHR7" s="91"/>
      <c r="BHS7" s="91"/>
      <c r="BHT7" s="91"/>
      <c r="BHU7" s="91"/>
      <c r="BHV7" s="91"/>
      <c r="BHW7" s="92"/>
      <c r="BHX7" s="92"/>
      <c r="BHY7" s="92"/>
      <c r="BHZ7" s="92"/>
      <c r="BIA7" s="92"/>
      <c r="BIB7" s="92"/>
      <c r="BIC7" s="92"/>
      <c r="BID7" s="91"/>
      <c r="BIE7" s="91"/>
      <c r="BIF7" s="91"/>
      <c r="BIG7" s="91"/>
      <c r="BIH7" s="91"/>
      <c r="BII7" s="91"/>
      <c r="BIJ7" s="91"/>
      <c r="BIK7" s="92"/>
      <c r="BIL7" s="92"/>
      <c r="BIM7" s="92"/>
      <c r="BIN7" s="92"/>
      <c r="BIO7" s="92"/>
      <c r="BIP7" s="92"/>
      <c r="BIQ7" s="92"/>
      <c r="BIR7" s="91"/>
      <c r="BIS7" s="91"/>
      <c r="BIT7" s="91"/>
      <c r="BIU7" s="91"/>
      <c r="BIV7" s="91"/>
      <c r="BIW7" s="91"/>
      <c r="BIX7" s="91"/>
      <c r="BIY7" s="92"/>
      <c r="BIZ7" s="92"/>
      <c r="BJA7" s="92"/>
      <c r="BJB7" s="92"/>
      <c r="BJC7" s="92"/>
      <c r="BJD7" s="92"/>
      <c r="BJE7" s="92"/>
      <c r="BJF7" s="91"/>
      <c r="BJG7" s="91"/>
      <c r="BJH7" s="91"/>
      <c r="BJI7" s="91"/>
      <c r="BJJ7" s="91"/>
      <c r="BJK7" s="91"/>
      <c r="BJL7" s="91"/>
      <c r="BJM7" s="92"/>
      <c r="BJN7" s="92"/>
      <c r="BJO7" s="92"/>
      <c r="BJP7" s="92"/>
      <c r="BJQ7" s="92"/>
      <c r="BJR7" s="92"/>
      <c r="BJS7" s="92"/>
      <c r="BJT7" s="91"/>
      <c r="BJU7" s="91"/>
      <c r="BJV7" s="91"/>
      <c r="BJW7" s="91"/>
      <c r="BJX7" s="91"/>
      <c r="BJY7" s="91"/>
      <c r="BJZ7" s="91"/>
      <c r="BKA7" s="92"/>
      <c r="BKB7" s="92"/>
      <c r="BKC7" s="92"/>
      <c r="BKD7" s="92"/>
      <c r="BKE7" s="92"/>
      <c r="BKF7" s="92"/>
      <c r="BKG7" s="92"/>
      <c r="BKH7" s="91"/>
      <c r="BKI7" s="91"/>
      <c r="BKJ7" s="91"/>
      <c r="BKK7" s="91"/>
      <c r="BKL7" s="91"/>
      <c r="BKM7" s="91"/>
      <c r="BKN7" s="91"/>
      <c r="BKO7" s="92"/>
      <c r="BKP7" s="92"/>
      <c r="BKQ7" s="92"/>
      <c r="BKR7" s="92"/>
      <c r="BKS7" s="92"/>
      <c r="BKT7" s="92"/>
      <c r="BKU7" s="92"/>
      <c r="BKV7" s="91"/>
      <c r="BKW7" s="91"/>
      <c r="BKX7" s="91"/>
      <c r="BKY7" s="91"/>
      <c r="BKZ7" s="91"/>
      <c r="BLA7" s="91"/>
      <c r="BLB7" s="91"/>
      <c r="BLC7" s="92"/>
      <c r="BLD7" s="92"/>
      <c r="BLE7" s="92"/>
      <c r="BLF7" s="92"/>
      <c r="BLG7" s="92"/>
      <c r="BLH7" s="92"/>
      <c r="BLI7" s="92"/>
      <c r="BLJ7" s="91"/>
      <c r="BLK7" s="91"/>
      <c r="BLL7" s="91"/>
      <c r="BLM7" s="91"/>
      <c r="BLN7" s="91"/>
      <c r="BLO7" s="91"/>
      <c r="BLP7" s="91"/>
      <c r="BLQ7" s="92"/>
      <c r="BLR7" s="92"/>
      <c r="BLS7" s="92"/>
      <c r="BLT7" s="92"/>
      <c r="BLU7" s="92"/>
      <c r="BLV7" s="92"/>
      <c r="BLW7" s="92"/>
      <c r="BLX7" s="91"/>
      <c r="BLY7" s="91"/>
      <c r="BLZ7" s="91"/>
      <c r="BMA7" s="91"/>
      <c r="BMB7" s="91"/>
      <c r="BMC7" s="91"/>
      <c r="BMD7" s="91"/>
      <c r="BME7" s="92"/>
      <c r="BMF7" s="92"/>
      <c r="BMG7" s="92"/>
      <c r="BMH7" s="92"/>
      <c r="BMI7" s="92"/>
      <c r="BMJ7" s="92"/>
      <c r="BMK7" s="92"/>
      <c r="BML7" s="91"/>
      <c r="BMM7" s="91"/>
      <c r="BMN7" s="91"/>
      <c r="BMO7" s="91"/>
      <c r="BMP7" s="91"/>
      <c r="BMQ7" s="91"/>
      <c r="BMR7" s="91"/>
      <c r="BMS7" s="92"/>
      <c r="BMT7" s="92"/>
      <c r="BMU7" s="92"/>
      <c r="BMV7" s="92"/>
      <c r="BMW7" s="92"/>
      <c r="BMX7" s="92"/>
      <c r="BMY7" s="92"/>
      <c r="BMZ7" s="91"/>
      <c r="BNA7" s="91"/>
      <c r="BNB7" s="91"/>
      <c r="BNC7" s="91"/>
      <c r="BND7" s="91"/>
      <c r="BNE7" s="91"/>
      <c r="BNF7" s="91"/>
      <c r="BNG7" s="92"/>
      <c r="BNH7" s="92"/>
      <c r="BNI7" s="92"/>
      <c r="BNJ7" s="92"/>
      <c r="BNK7" s="92"/>
      <c r="BNL7" s="92"/>
      <c r="BNM7" s="92"/>
      <c r="BNN7" s="91"/>
      <c r="BNO7" s="91"/>
      <c r="BNP7" s="91"/>
      <c r="BNQ7" s="91"/>
      <c r="BNR7" s="91"/>
      <c r="BNS7" s="91"/>
      <c r="BNT7" s="91"/>
      <c r="BNU7" s="92"/>
      <c r="BNV7" s="92"/>
      <c r="BNW7" s="92"/>
      <c r="BNX7" s="92"/>
      <c r="BNY7" s="92"/>
      <c r="BNZ7" s="92"/>
      <c r="BOA7" s="92"/>
      <c r="BOB7" s="91"/>
      <c r="BOC7" s="91"/>
      <c r="BOD7" s="91"/>
      <c r="BOE7" s="91"/>
      <c r="BOF7" s="91"/>
      <c r="BOG7" s="91"/>
      <c r="BOH7" s="91"/>
      <c r="BOI7" s="92"/>
      <c r="BOJ7" s="92"/>
      <c r="BOK7" s="92"/>
      <c r="BOL7" s="92"/>
      <c r="BOM7" s="92"/>
      <c r="BON7" s="92"/>
      <c r="BOO7" s="92"/>
      <c r="BOP7" s="91"/>
      <c r="BOQ7" s="91"/>
      <c r="BOR7" s="91"/>
      <c r="BOS7" s="91"/>
      <c r="BOT7" s="91"/>
      <c r="BOU7" s="91"/>
      <c r="BOV7" s="91"/>
      <c r="BOW7" s="92"/>
      <c r="BOX7" s="92"/>
      <c r="BOY7" s="92"/>
      <c r="BOZ7" s="92"/>
      <c r="BPA7" s="92"/>
      <c r="BPB7" s="92"/>
      <c r="BPC7" s="92"/>
      <c r="BPD7" s="91"/>
      <c r="BPE7" s="91"/>
      <c r="BPF7" s="91"/>
      <c r="BPG7" s="91"/>
      <c r="BPH7" s="91"/>
      <c r="BPI7" s="91"/>
      <c r="BPJ7" s="91"/>
      <c r="BPK7" s="92"/>
      <c r="BPL7" s="92"/>
      <c r="BPM7" s="92"/>
      <c r="BPN7" s="92"/>
      <c r="BPO7" s="92"/>
      <c r="BPP7" s="92"/>
      <c r="BPQ7" s="92"/>
      <c r="BPR7" s="91"/>
      <c r="BPS7" s="91"/>
      <c r="BPT7" s="91"/>
      <c r="BPU7" s="91"/>
      <c r="BPV7" s="91"/>
      <c r="BPW7" s="91"/>
      <c r="BPX7" s="91"/>
      <c r="BPY7" s="92"/>
      <c r="BPZ7" s="92"/>
      <c r="BQA7" s="92"/>
      <c r="BQB7" s="92"/>
      <c r="BQC7" s="92"/>
      <c r="BQD7" s="92"/>
      <c r="BQE7" s="92"/>
      <c r="BQF7" s="91"/>
      <c r="BQG7" s="91"/>
      <c r="BQH7" s="91"/>
      <c r="BQI7" s="91"/>
      <c r="BQJ7" s="91"/>
      <c r="BQK7" s="91"/>
      <c r="BQL7" s="91"/>
      <c r="BQM7" s="92"/>
      <c r="BQN7" s="92"/>
      <c r="BQO7" s="92"/>
      <c r="BQP7" s="92"/>
      <c r="BQQ7" s="92"/>
      <c r="BQR7" s="92"/>
      <c r="BQS7" s="92"/>
      <c r="BQT7" s="91"/>
      <c r="BQU7" s="91"/>
      <c r="BQV7" s="91"/>
      <c r="BQW7" s="91"/>
      <c r="BQX7" s="91"/>
      <c r="BQY7" s="91"/>
      <c r="BQZ7" s="91"/>
      <c r="BRA7" s="92"/>
      <c r="BRB7" s="92"/>
      <c r="BRC7" s="92"/>
      <c r="BRD7" s="92"/>
      <c r="BRE7" s="92"/>
      <c r="BRF7" s="92"/>
      <c r="BRG7" s="92"/>
      <c r="BRH7" s="91"/>
      <c r="BRI7" s="91"/>
      <c r="BRJ7" s="91"/>
      <c r="BRK7" s="91"/>
      <c r="BRL7" s="91"/>
      <c r="BRM7" s="91"/>
      <c r="BRN7" s="91"/>
      <c r="BRO7" s="92"/>
      <c r="BRP7" s="92"/>
      <c r="BRQ7" s="92"/>
      <c r="BRR7" s="92"/>
      <c r="BRS7" s="92"/>
      <c r="BRT7" s="92"/>
      <c r="BRU7" s="92"/>
      <c r="BRV7" s="91"/>
      <c r="BRW7" s="91"/>
      <c r="BRX7" s="91"/>
      <c r="BRY7" s="91"/>
      <c r="BRZ7" s="91"/>
      <c r="BSA7" s="91"/>
      <c r="BSB7" s="91"/>
      <c r="BSC7" s="92"/>
      <c r="BSD7" s="92"/>
      <c r="BSE7" s="92"/>
      <c r="BSF7" s="92"/>
      <c r="BSG7" s="92"/>
      <c r="BSH7" s="92"/>
      <c r="BSI7" s="92"/>
      <c r="BSJ7" s="91"/>
      <c r="BSK7" s="91"/>
      <c r="BSL7" s="91"/>
      <c r="BSM7" s="91"/>
      <c r="BSN7" s="91"/>
      <c r="BSO7" s="91"/>
      <c r="BSP7" s="91"/>
      <c r="BSQ7" s="92"/>
      <c r="BSR7" s="92"/>
      <c r="BSS7" s="92"/>
      <c r="BST7" s="92"/>
      <c r="BSU7" s="92"/>
      <c r="BSV7" s="92"/>
      <c r="BSW7" s="92"/>
      <c r="BSX7" s="91"/>
      <c r="BSY7" s="91"/>
      <c r="BSZ7" s="91"/>
      <c r="BTA7" s="91"/>
      <c r="BTB7" s="91"/>
      <c r="BTC7" s="91"/>
      <c r="BTD7" s="91"/>
      <c r="BTE7" s="92"/>
      <c r="BTF7" s="92"/>
      <c r="BTG7" s="92"/>
      <c r="BTH7" s="92"/>
      <c r="BTI7" s="92"/>
      <c r="BTJ7" s="92"/>
      <c r="BTK7" s="92"/>
      <c r="BTL7" s="91"/>
      <c r="BTM7" s="91"/>
      <c r="BTN7" s="91"/>
      <c r="BTO7" s="91"/>
      <c r="BTP7" s="91"/>
      <c r="BTQ7" s="91"/>
      <c r="BTR7" s="91"/>
      <c r="BTS7" s="92"/>
      <c r="BTT7" s="92"/>
      <c r="BTU7" s="92"/>
      <c r="BTV7" s="92"/>
      <c r="BTW7" s="92"/>
      <c r="BTX7" s="92"/>
      <c r="BTY7" s="92"/>
      <c r="BTZ7" s="91"/>
      <c r="BUA7" s="91"/>
      <c r="BUB7" s="91"/>
      <c r="BUC7" s="91"/>
      <c r="BUD7" s="91"/>
      <c r="BUE7" s="91"/>
      <c r="BUF7" s="91"/>
      <c r="BUG7" s="92"/>
      <c r="BUH7" s="92"/>
      <c r="BUI7" s="92"/>
      <c r="BUJ7" s="92"/>
      <c r="BUK7" s="92"/>
      <c r="BUL7" s="92"/>
      <c r="BUM7" s="92"/>
      <c r="BUN7" s="91"/>
      <c r="BUO7" s="91"/>
      <c r="BUP7" s="91"/>
      <c r="BUQ7" s="91"/>
      <c r="BUR7" s="91"/>
      <c r="BUS7" s="91"/>
      <c r="BUT7" s="91"/>
      <c r="BUU7" s="92"/>
      <c r="BUV7" s="92"/>
      <c r="BUW7" s="92"/>
      <c r="BUX7" s="92"/>
      <c r="BUY7" s="92"/>
      <c r="BUZ7" s="92"/>
      <c r="BVA7" s="92"/>
      <c r="BVB7" s="91"/>
      <c r="BVC7" s="91"/>
      <c r="BVD7" s="91"/>
      <c r="BVE7" s="91"/>
      <c r="BVF7" s="91"/>
      <c r="BVG7" s="91"/>
      <c r="BVH7" s="91"/>
      <c r="BVI7" s="92"/>
      <c r="BVJ7" s="92"/>
      <c r="BVK7" s="92"/>
      <c r="BVL7" s="92"/>
      <c r="BVM7" s="92"/>
      <c r="BVN7" s="92"/>
      <c r="BVO7" s="92"/>
      <c r="BVP7" s="91"/>
      <c r="BVQ7" s="91"/>
      <c r="BVR7" s="91"/>
      <c r="BVS7" s="91"/>
      <c r="BVT7" s="91"/>
      <c r="BVU7" s="91"/>
      <c r="BVV7" s="91"/>
      <c r="BVW7" s="92"/>
      <c r="BVX7" s="92"/>
      <c r="BVY7" s="92"/>
      <c r="BVZ7" s="92"/>
      <c r="BWA7" s="92"/>
      <c r="BWB7" s="92"/>
      <c r="BWC7" s="92"/>
      <c r="BWD7" s="91"/>
      <c r="BWE7" s="91"/>
      <c r="BWF7" s="91"/>
      <c r="BWG7" s="91"/>
      <c r="BWH7" s="91"/>
      <c r="BWI7" s="91"/>
      <c r="BWJ7" s="91"/>
      <c r="BWK7" s="92"/>
      <c r="BWL7" s="92"/>
      <c r="BWM7" s="92"/>
      <c r="BWN7" s="92"/>
      <c r="BWO7" s="92"/>
      <c r="BWP7" s="92"/>
      <c r="BWQ7" s="92"/>
      <c r="BWR7" s="91"/>
      <c r="BWS7" s="91"/>
      <c r="BWT7" s="91"/>
      <c r="BWU7" s="91"/>
      <c r="BWV7" s="91"/>
      <c r="BWW7" s="91"/>
      <c r="BWX7" s="91"/>
      <c r="BWY7" s="92"/>
      <c r="BWZ7" s="92"/>
      <c r="BXA7" s="92"/>
      <c r="BXB7" s="92"/>
      <c r="BXC7" s="92"/>
      <c r="BXD7" s="92"/>
      <c r="BXE7" s="92"/>
      <c r="BXF7" s="91"/>
      <c r="BXG7" s="91"/>
      <c r="BXH7" s="91"/>
      <c r="BXI7" s="91"/>
      <c r="BXJ7" s="91"/>
      <c r="BXK7" s="91"/>
      <c r="BXL7" s="91"/>
      <c r="BXM7" s="92"/>
      <c r="BXN7" s="92"/>
      <c r="BXO7" s="92"/>
      <c r="BXP7" s="92"/>
      <c r="BXQ7" s="92"/>
      <c r="BXR7" s="92"/>
      <c r="BXS7" s="92"/>
      <c r="BXT7" s="91"/>
      <c r="BXU7" s="91"/>
      <c r="BXV7" s="91"/>
      <c r="BXW7" s="91"/>
      <c r="BXX7" s="91"/>
      <c r="BXY7" s="91"/>
      <c r="BXZ7" s="91"/>
      <c r="BYA7" s="92"/>
      <c r="BYB7" s="92"/>
      <c r="BYC7" s="92"/>
      <c r="BYD7" s="92"/>
      <c r="BYE7" s="92"/>
      <c r="BYF7" s="92"/>
      <c r="BYG7" s="92"/>
      <c r="BYH7" s="91"/>
      <c r="BYI7" s="91"/>
      <c r="BYJ7" s="91"/>
      <c r="BYK7" s="91"/>
      <c r="BYL7" s="91"/>
      <c r="BYM7" s="91"/>
      <c r="BYN7" s="91"/>
      <c r="BYO7" s="92"/>
      <c r="BYP7" s="92"/>
      <c r="BYQ7" s="92"/>
      <c r="BYR7" s="92"/>
      <c r="BYS7" s="92"/>
      <c r="BYT7" s="92"/>
      <c r="BYU7" s="92"/>
      <c r="BYV7" s="91"/>
      <c r="BYW7" s="91"/>
      <c r="BYX7" s="91"/>
      <c r="BYY7" s="91"/>
      <c r="BYZ7" s="91"/>
      <c r="BZA7" s="91"/>
      <c r="BZB7" s="91"/>
      <c r="BZC7" s="92"/>
      <c r="BZD7" s="92"/>
      <c r="BZE7" s="92"/>
      <c r="BZF7" s="92"/>
      <c r="BZG7" s="92"/>
      <c r="BZH7" s="92"/>
      <c r="BZI7" s="92"/>
      <c r="BZJ7" s="91"/>
      <c r="BZK7" s="91"/>
      <c r="BZL7" s="91"/>
      <c r="BZM7" s="91"/>
      <c r="BZN7" s="91"/>
      <c r="BZO7" s="91"/>
      <c r="BZP7" s="91"/>
      <c r="BZQ7" s="92"/>
      <c r="BZR7" s="92"/>
      <c r="BZS7" s="92"/>
      <c r="BZT7" s="92"/>
      <c r="BZU7" s="92"/>
      <c r="BZV7" s="92"/>
      <c r="BZW7" s="92"/>
      <c r="BZX7" s="91"/>
      <c r="BZY7" s="91"/>
      <c r="BZZ7" s="91"/>
      <c r="CAA7" s="91"/>
      <c r="CAB7" s="91"/>
      <c r="CAC7" s="91"/>
      <c r="CAD7" s="91"/>
      <c r="CAE7" s="92"/>
      <c r="CAF7" s="92"/>
      <c r="CAG7" s="92"/>
      <c r="CAH7" s="92"/>
      <c r="CAI7" s="92"/>
      <c r="CAJ7" s="92"/>
      <c r="CAK7" s="92"/>
      <c r="CAL7" s="91"/>
      <c r="CAM7" s="91"/>
      <c r="CAN7" s="91"/>
      <c r="CAO7" s="91"/>
      <c r="CAP7" s="91"/>
      <c r="CAQ7" s="91"/>
      <c r="CAR7" s="91"/>
      <c r="CAS7" s="92"/>
      <c r="CAT7" s="92"/>
      <c r="CAU7" s="92"/>
      <c r="CAV7" s="92"/>
      <c r="CAW7" s="92"/>
      <c r="CAX7" s="92"/>
      <c r="CAY7" s="92"/>
      <c r="CAZ7" s="91"/>
      <c r="CBA7" s="91"/>
      <c r="CBB7" s="91"/>
      <c r="CBC7" s="91"/>
      <c r="CBD7" s="91"/>
      <c r="CBE7" s="91"/>
      <c r="CBF7" s="91"/>
      <c r="CBG7" s="92"/>
      <c r="CBH7" s="92"/>
      <c r="CBI7" s="92"/>
      <c r="CBJ7" s="92"/>
      <c r="CBK7" s="92"/>
      <c r="CBL7" s="92"/>
      <c r="CBM7" s="92"/>
      <c r="CBN7" s="91"/>
      <c r="CBO7" s="91"/>
      <c r="CBP7" s="91"/>
      <c r="CBQ7" s="91"/>
      <c r="CBR7" s="91"/>
      <c r="CBS7" s="91"/>
      <c r="CBT7" s="91"/>
      <c r="CBU7" s="92"/>
      <c r="CBV7" s="92"/>
      <c r="CBW7" s="92"/>
      <c r="CBX7" s="92"/>
      <c r="CBY7" s="92"/>
      <c r="CBZ7" s="92"/>
      <c r="CCA7" s="92"/>
      <c r="CCB7" s="91"/>
      <c r="CCC7" s="91"/>
      <c r="CCD7" s="91"/>
      <c r="CCE7" s="91"/>
      <c r="CCF7" s="91"/>
      <c r="CCG7" s="91"/>
      <c r="CCH7" s="91"/>
      <c r="CCI7" s="92"/>
      <c r="CCJ7" s="92"/>
      <c r="CCK7" s="92"/>
      <c r="CCL7" s="92"/>
      <c r="CCM7" s="92"/>
      <c r="CCN7" s="92"/>
      <c r="CCO7" s="92"/>
      <c r="CCP7" s="91"/>
      <c r="CCQ7" s="91"/>
      <c r="CCR7" s="91"/>
      <c r="CCS7" s="91"/>
      <c r="CCT7" s="91"/>
      <c r="CCU7" s="91"/>
      <c r="CCV7" s="91"/>
    </row>
    <row r="8" spans="1:2129 15008:15068 15384:15392" ht="14.1" customHeight="1" x14ac:dyDescent="0.2">
      <c r="G8" s="201" t="s">
        <v>204</v>
      </c>
      <c r="H8" s="89"/>
      <c r="I8" s="89"/>
      <c r="J8" s="88"/>
      <c r="K8" s="89"/>
      <c r="L8" s="89"/>
      <c r="M8" s="88"/>
      <c r="N8" s="173"/>
      <c r="O8" s="173"/>
      <c r="P8" s="187"/>
      <c r="Q8" s="180"/>
      <c r="R8" s="89"/>
      <c r="S8" s="89"/>
      <c r="T8" s="88"/>
      <c r="U8" s="200"/>
      <c r="V8" s="200"/>
      <c r="W8" s="200"/>
      <c r="X8" s="87"/>
      <c r="Y8" s="87"/>
      <c r="Z8" s="87"/>
      <c r="AA8" s="87"/>
      <c r="AB8" s="87"/>
      <c r="AC8" s="189">
        <v>17</v>
      </c>
      <c r="AD8" s="189">
        <v>18</v>
      </c>
      <c r="AE8" s="189">
        <v>19</v>
      </c>
      <c r="AF8" s="189">
        <v>20</v>
      </c>
      <c r="AG8" s="189">
        <v>21</v>
      </c>
      <c r="AH8" s="189">
        <v>22</v>
      </c>
      <c r="AI8" s="189">
        <v>23</v>
      </c>
      <c r="AJ8" s="189">
        <v>24</v>
      </c>
      <c r="AK8" s="189">
        <v>25</v>
      </c>
      <c r="AL8" s="189">
        <v>26</v>
      </c>
      <c r="AM8" s="189">
        <v>27</v>
      </c>
      <c r="AN8" s="189">
        <v>28</v>
      </c>
      <c r="AO8" s="189">
        <v>29</v>
      </c>
      <c r="AP8" s="189">
        <v>30</v>
      </c>
      <c r="AQ8" s="189">
        <v>31</v>
      </c>
      <c r="AR8" s="189">
        <v>1</v>
      </c>
      <c r="AS8" s="189">
        <v>2</v>
      </c>
      <c r="AT8" s="189">
        <v>3</v>
      </c>
      <c r="AU8" s="189">
        <v>4</v>
      </c>
      <c r="AV8" s="189">
        <v>5</v>
      </c>
      <c r="AW8" s="189">
        <v>6</v>
      </c>
      <c r="AX8" s="189">
        <v>7</v>
      </c>
      <c r="AY8" s="189">
        <v>8</v>
      </c>
      <c r="AZ8" s="189">
        <v>9</v>
      </c>
      <c r="BA8" s="189">
        <v>10</v>
      </c>
      <c r="BB8" s="189">
        <v>11</v>
      </c>
      <c r="BC8" s="189">
        <v>12</v>
      </c>
      <c r="BD8" s="189">
        <v>13</v>
      </c>
      <c r="BE8" s="189">
        <v>14</v>
      </c>
      <c r="BF8" s="189">
        <v>15</v>
      </c>
      <c r="BG8" s="189">
        <v>16</v>
      </c>
      <c r="BH8" s="189">
        <v>17</v>
      </c>
      <c r="BI8" s="189">
        <v>18</v>
      </c>
      <c r="BJ8" s="189">
        <v>19</v>
      </c>
      <c r="BK8" s="189">
        <v>20</v>
      </c>
      <c r="BL8" s="189">
        <v>21</v>
      </c>
      <c r="BM8" s="189">
        <v>22</v>
      </c>
      <c r="BN8" s="189">
        <v>23</v>
      </c>
      <c r="BO8" s="189">
        <v>24</v>
      </c>
      <c r="BP8" s="189">
        <v>25</v>
      </c>
      <c r="BQ8" s="189">
        <v>26</v>
      </c>
      <c r="BR8" s="189">
        <v>27</v>
      </c>
      <c r="BS8" s="189">
        <v>28</v>
      </c>
      <c r="BT8" s="189">
        <v>29</v>
      </c>
      <c r="BU8" s="189">
        <v>30</v>
      </c>
      <c r="BV8" s="189">
        <v>31</v>
      </c>
      <c r="BW8" s="189">
        <v>1</v>
      </c>
      <c r="BX8" s="189">
        <v>2</v>
      </c>
      <c r="BY8" s="189">
        <v>3</v>
      </c>
      <c r="BZ8" s="189">
        <v>4</v>
      </c>
      <c r="CA8" s="189">
        <v>5</v>
      </c>
      <c r="CB8" s="189">
        <v>6</v>
      </c>
      <c r="CC8" s="189">
        <v>7</v>
      </c>
      <c r="CD8" s="189">
        <v>8</v>
      </c>
      <c r="CE8" s="189">
        <v>9</v>
      </c>
      <c r="CF8" s="189">
        <v>10</v>
      </c>
      <c r="CG8" s="189"/>
      <c r="CH8" s="189"/>
      <c r="CI8" s="189"/>
      <c r="CJ8" s="189"/>
      <c r="CK8" s="189"/>
      <c r="CL8" s="189"/>
      <c r="CM8" s="189"/>
      <c r="CN8" s="189"/>
      <c r="CO8" s="189"/>
      <c r="CP8" s="189"/>
      <c r="CQ8" s="189"/>
      <c r="CR8" s="189"/>
      <c r="CS8" s="189"/>
      <c r="CT8" s="189"/>
      <c r="CU8" s="189"/>
      <c r="CV8" s="189"/>
      <c r="CW8" s="189"/>
      <c r="CX8" s="189"/>
      <c r="CY8" s="189"/>
      <c r="CZ8" s="189"/>
      <c r="DA8" s="189"/>
      <c r="DB8" s="189"/>
      <c r="DC8" s="189"/>
      <c r="DD8" s="189"/>
      <c r="DE8" s="189"/>
      <c r="DF8" s="189"/>
      <c r="DG8" s="189"/>
      <c r="DH8" s="189"/>
      <c r="DI8" s="189"/>
      <c r="DJ8" s="189"/>
      <c r="DK8" s="189"/>
      <c r="DL8" s="189"/>
      <c r="DM8" s="189"/>
      <c r="DN8" s="189"/>
      <c r="DO8" s="189"/>
      <c r="DP8" s="189"/>
      <c r="DQ8" s="189"/>
      <c r="DR8" s="189"/>
      <c r="DS8" s="189"/>
      <c r="DT8" s="189"/>
      <c r="DU8" s="189"/>
      <c r="DV8" s="189"/>
      <c r="DW8" s="189"/>
      <c r="DX8" s="189"/>
      <c r="DY8" s="189"/>
      <c r="DZ8" s="189"/>
      <c r="EA8" s="189"/>
      <c r="EB8" s="189"/>
      <c r="EC8" s="189"/>
      <c r="ED8" s="189"/>
      <c r="EE8" s="189"/>
      <c r="EF8" s="189"/>
      <c r="EG8" s="189"/>
      <c r="EH8" s="189"/>
      <c r="EI8" s="189"/>
      <c r="EJ8" s="189"/>
      <c r="EK8" s="189"/>
      <c r="EL8" s="189"/>
      <c r="EM8" s="189"/>
      <c r="EN8" s="189"/>
      <c r="EO8" s="189"/>
      <c r="EP8" s="189"/>
      <c r="EQ8" s="189"/>
      <c r="ER8" s="189"/>
      <c r="ES8" s="189"/>
      <c r="ET8" s="189"/>
      <c r="EU8" s="189"/>
      <c r="EV8" s="189"/>
      <c r="EW8" s="189"/>
      <c r="EX8" s="189"/>
      <c r="EY8" s="189"/>
      <c r="EZ8" s="189"/>
      <c r="FA8" s="189"/>
      <c r="FB8" s="189"/>
      <c r="FC8" s="189"/>
      <c r="FD8" s="189"/>
      <c r="FE8" s="189"/>
      <c r="FF8" s="189"/>
      <c r="FG8" s="189"/>
      <c r="FH8" s="189"/>
      <c r="FI8" s="189"/>
      <c r="FJ8" s="189"/>
      <c r="FK8" s="189"/>
      <c r="FL8" s="189"/>
      <c r="FM8" s="189"/>
      <c r="FN8" s="189"/>
      <c r="FO8" s="189"/>
      <c r="FP8" s="189"/>
      <c r="FQ8" s="189"/>
      <c r="FR8" s="189"/>
      <c r="FS8" s="189"/>
      <c r="FT8" s="189"/>
      <c r="FU8" s="189"/>
      <c r="FV8" s="189"/>
      <c r="FW8" s="189"/>
      <c r="FX8" s="189"/>
      <c r="FY8" s="189"/>
      <c r="FZ8" s="189"/>
      <c r="GA8" s="189"/>
      <c r="GB8" s="189"/>
      <c r="GC8" s="189"/>
      <c r="GD8" s="189"/>
      <c r="GE8" s="189"/>
      <c r="GF8" s="189"/>
      <c r="GG8" s="189"/>
      <c r="GH8" s="189"/>
      <c r="GI8" s="189"/>
      <c r="GJ8" s="189"/>
      <c r="GK8" s="189"/>
      <c r="GL8" s="189"/>
      <c r="GM8" s="189"/>
      <c r="GN8" s="189"/>
      <c r="GO8" s="189"/>
      <c r="GP8" s="189"/>
      <c r="GQ8" s="189"/>
      <c r="GR8" s="189"/>
      <c r="GS8" s="189"/>
      <c r="GT8" s="189"/>
      <c r="GU8" s="189"/>
      <c r="GV8" s="189"/>
      <c r="GW8" s="189"/>
      <c r="GX8" s="189"/>
      <c r="GY8" s="189"/>
      <c r="GZ8" s="189"/>
      <c r="HA8" s="189"/>
      <c r="HB8" s="189"/>
      <c r="HC8" s="189"/>
      <c r="HD8" s="189"/>
      <c r="HE8" s="189"/>
      <c r="HF8" s="189"/>
      <c r="HG8" s="189"/>
      <c r="HH8" s="189"/>
      <c r="HI8" s="189"/>
      <c r="HJ8" s="189"/>
      <c r="HK8" s="189"/>
      <c r="HL8" s="189"/>
      <c r="HM8" s="189"/>
      <c r="HN8" s="189"/>
      <c r="HO8" s="189"/>
      <c r="HP8" s="189"/>
      <c r="HQ8" s="189"/>
      <c r="HR8" s="189"/>
      <c r="HS8" s="189"/>
      <c r="HT8" s="189"/>
      <c r="HU8" s="189"/>
      <c r="HV8" s="189"/>
      <c r="HW8" s="189"/>
      <c r="HX8" s="189"/>
      <c r="HY8" s="189"/>
      <c r="HZ8" s="189"/>
      <c r="IA8" s="189"/>
      <c r="IB8" s="189"/>
      <c r="IC8" s="189"/>
      <c r="ID8" s="189"/>
      <c r="IE8" s="189"/>
      <c r="IF8" s="189"/>
      <c r="IG8" s="189"/>
      <c r="IH8" s="189"/>
      <c r="II8" s="189"/>
      <c r="IJ8" s="189"/>
      <c r="IK8" s="189"/>
      <c r="IL8" s="189"/>
      <c r="IM8" s="189"/>
      <c r="IN8" s="189"/>
      <c r="IO8" s="189"/>
      <c r="IP8" s="189"/>
      <c r="IQ8" s="189"/>
      <c r="IR8" s="189"/>
      <c r="IS8" s="189"/>
      <c r="IT8" s="189"/>
      <c r="IU8" s="189"/>
      <c r="IV8" s="189"/>
      <c r="IW8" s="189"/>
      <c r="IX8" s="189"/>
      <c r="IY8" s="189"/>
      <c r="IZ8" s="189"/>
      <c r="JA8" s="189"/>
      <c r="JB8" s="189"/>
      <c r="JC8" s="189"/>
      <c r="JD8" s="189"/>
      <c r="JE8" s="189"/>
      <c r="JF8" s="189"/>
      <c r="JG8" s="189"/>
      <c r="JH8" s="189"/>
      <c r="JI8" s="189"/>
      <c r="JJ8" s="189"/>
      <c r="JK8" s="189"/>
      <c r="JL8" s="189"/>
      <c r="JM8" s="189"/>
      <c r="JN8" s="189"/>
      <c r="JO8" s="189"/>
      <c r="JP8" s="189"/>
      <c r="JQ8" s="189"/>
      <c r="JR8" s="189"/>
      <c r="JS8" s="189"/>
      <c r="JT8" s="189"/>
      <c r="JU8" s="189"/>
      <c r="JV8" s="189"/>
      <c r="JW8" s="189"/>
      <c r="JX8" s="189"/>
      <c r="JY8" s="189"/>
      <c r="JZ8" s="189"/>
      <c r="KA8" s="189"/>
      <c r="KB8" s="189"/>
      <c r="KC8" s="189"/>
      <c r="KD8" s="189"/>
      <c r="KE8" s="189"/>
      <c r="KF8" s="189"/>
      <c r="KG8" s="189"/>
      <c r="KH8" s="189"/>
      <c r="KI8" s="189"/>
      <c r="KJ8" s="189"/>
      <c r="KK8" s="189"/>
      <c r="KL8" s="189"/>
      <c r="KM8" s="189"/>
      <c r="KN8" s="189"/>
      <c r="KO8" s="189"/>
      <c r="KP8" s="189"/>
      <c r="KQ8" s="189"/>
      <c r="KR8" s="189"/>
      <c r="KS8" s="189"/>
      <c r="KT8" s="189"/>
      <c r="KU8" s="189"/>
      <c r="KV8" s="189"/>
      <c r="KW8" s="189"/>
      <c r="KX8" s="189"/>
      <c r="KY8" s="189"/>
      <c r="KZ8" s="189"/>
      <c r="LA8" s="189"/>
      <c r="LB8" s="189"/>
      <c r="LC8" s="189"/>
      <c r="LD8" s="189"/>
      <c r="LE8" s="189"/>
      <c r="LF8" s="189"/>
      <c r="LG8" s="189"/>
      <c r="LH8" s="189"/>
      <c r="LI8" s="189"/>
      <c r="LJ8" s="189"/>
      <c r="LK8" s="189"/>
      <c r="LL8" s="189"/>
      <c r="LM8" s="189"/>
      <c r="LN8" s="189"/>
      <c r="LO8" s="189"/>
      <c r="LP8" s="189"/>
      <c r="LQ8" s="189"/>
      <c r="LR8" s="189"/>
      <c r="LS8" s="189"/>
      <c r="LT8" s="189"/>
      <c r="LU8" s="189"/>
      <c r="LV8" s="189"/>
      <c r="LW8" s="189"/>
      <c r="LX8" s="189"/>
      <c r="LY8" s="189"/>
      <c r="LZ8" s="189"/>
      <c r="MA8" s="189"/>
      <c r="MB8" s="189"/>
      <c r="MC8" s="189"/>
      <c r="MD8" s="189"/>
      <c r="ME8" s="189"/>
      <c r="MF8" s="189"/>
      <c r="MG8" s="189"/>
      <c r="MH8" s="189"/>
      <c r="MI8" s="189"/>
      <c r="MJ8" s="189"/>
      <c r="MK8" s="189"/>
      <c r="ML8" s="189"/>
      <c r="MM8" s="189"/>
      <c r="MN8" s="189"/>
      <c r="MO8" s="189"/>
      <c r="MP8" s="189"/>
      <c r="MQ8" s="189"/>
      <c r="MR8" s="189"/>
      <c r="MS8" s="189"/>
      <c r="MT8" s="189"/>
      <c r="MU8" s="189"/>
      <c r="MV8" s="189"/>
      <c r="MW8" s="189"/>
      <c r="MX8" s="189"/>
      <c r="MY8" s="189"/>
      <c r="MZ8" s="189"/>
      <c r="NA8" s="189"/>
      <c r="NB8" s="189"/>
      <c r="NC8" s="189"/>
      <c r="ND8" s="189"/>
      <c r="NE8" s="189"/>
      <c r="NF8" s="189"/>
      <c r="NG8" s="189"/>
      <c r="NH8" s="189"/>
      <c r="NI8" s="189"/>
      <c r="NJ8" s="189"/>
      <c r="NK8" s="189"/>
      <c r="NL8" s="189"/>
      <c r="NM8" s="189"/>
      <c r="NN8" s="189"/>
      <c r="NO8" s="189"/>
      <c r="NP8" s="189"/>
      <c r="NQ8" s="189"/>
      <c r="NR8" s="189"/>
      <c r="NS8" s="189"/>
      <c r="NT8" s="189"/>
      <c r="NU8" s="189"/>
      <c r="NV8" s="189"/>
      <c r="NW8" s="189"/>
      <c r="NX8" s="189"/>
      <c r="NY8" s="189"/>
      <c r="NZ8" s="189"/>
      <c r="OA8" s="189"/>
      <c r="OB8" s="189"/>
      <c r="OC8" s="189"/>
      <c r="OD8" s="189"/>
      <c r="OE8" s="189"/>
      <c r="OF8" s="189"/>
      <c r="OG8" s="189"/>
      <c r="OH8" s="189"/>
      <c r="OI8" s="189"/>
      <c r="OJ8" s="189"/>
      <c r="OK8" s="189"/>
      <c r="OL8" s="189"/>
      <c r="OM8" s="189"/>
      <c r="ON8" s="189"/>
      <c r="OO8" s="189"/>
      <c r="OP8" s="189"/>
      <c r="OQ8" s="189"/>
      <c r="OR8" s="189"/>
      <c r="OS8" s="189"/>
      <c r="OT8" s="189"/>
      <c r="OU8" s="189"/>
      <c r="OV8" s="189"/>
      <c r="OW8" s="189"/>
      <c r="OX8" s="189"/>
      <c r="OY8" s="189"/>
      <c r="OZ8" s="189"/>
      <c r="PA8" s="189"/>
      <c r="PB8" s="189"/>
      <c r="PC8" s="189"/>
      <c r="PD8" s="189"/>
      <c r="PE8" s="189"/>
      <c r="PF8" s="189"/>
      <c r="PG8" s="189"/>
      <c r="PH8" s="189"/>
      <c r="PI8" s="189"/>
      <c r="PJ8" s="189"/>
      <c r="PK8" s="189"/>
      <c r="PL8" s="189"/>
      <c r="PM8" s="189"/>
      <c r="PN8" s="189"/>
      <c r="PO8" s="189"/>
      <c r="PP8" s="189"/>
      <c r="PQ8" s="189"/>
      <c r="PR8" s="189"/>
      <c r="PS8" s="189"/>
      <c r="PT8" s="189"/>
      <c r="PU8" s="189"/>
      <c r="PV8" s="189"/>
      <c r="PW8" s="189"/>
      <c r="PX8" s="189"/>
      <c r="PY8" s="189"/>
      <c r="PZ8" s="189"/>
      <c r="QA8" s="189"/>
      <c r="QB8" s="189"/>
      <c r="QC8" s="189"/>
      <c r="QD8" s="189"/>
      <c r="QE8" s="189"/>
      <c r="QF8" s="189"/>
      <c r="QG8" s="189"/>
      <c r="QH8" s="189"/>
      <c r="QI8" s="189"/>
      <c r="QJ8" s="189"/>
      <c r="QK8" s="189"/>
      <c r="QL8" s="189"/>
      <c r="QM8" s="189"/>
      <c r="QN8" s="189"/>
      <c r="QO8" s="189"/>
      <c r="QP8" s="189"/>
      <c r="QQ8" s="189"/>
      <c r="QR8" s="189"/>
      <c r="QS8" s="189"/>
      <c r="QT8" s="189"/>
      <c r="QU8" s="189"/>
      <c r="QV8" s="189"/>
      <c r="QW8" s="189"/>
      <c r="QX8" s="189"/>
      <c r="QY8" s="189"/>
      <c r="QZ8" s="189"/>
      <c r="RA8" s="189"/>
      <c r="RB8" s="189"/>
      <c r="RC8" s="189"/>
      <c r="RD8" s="189"/>
      <c r="RE8" s="189"/>
      <c r="RF8" s="189"/>
      <c r="RG8" s="189"/>
      <c r="RH8" s="189"/>
      <c r="RI8" s="189"/>
      <c r="RJ8" s="189"/>
      <c r="RK8" s="189"/>
      <c r="RL8" s="189"/>
      <c r="RM8" s="189"/>
      <c r="RN8" s="189"/>
      <c r="RO8" s="189"/>
      <c r="RP8" s="189"/>
      <c r="RQ8" s="189"/>
      <c r="RR8" s="189"/>
      <c r="RS8" s="189"/>
      <c r="RT8" s="189"/>
      <c r="RU8" s="189"/>
      <c r="RV8" s="189"/>
      <c r="RW8" s="189"/>
      <c r="RX8" s="189"/>
      <c r="RY8" s="189"/>
      <c r="RZ8" s="189"/>
      <c r="SA8" s="189"/>
      <c r="SB8" s="189"/>
      <c r="SC8" s="189"/>
      <c r="SD8" s="189"/>
      <c r="SE8" s="189"/>
      <c r="SF8" s="189"/>
      <c r="SG8" s="189"/>
      <c r="SH8" s="189"/>
      <c r="SI8" s="189"/>
      <c r="SJ8" s="189"/>
      <c r="SK8" s="189"/>
      <c r="SL8" s="189"/>
      <c r="SM8" s="189"/>
      <c r="SN8" s="189"/>
      <c r="SO8" s="189"/>
      <c r="SP8" s="189"/>
      <c r="SQ8" s="189"/>
      <c r="SR8" s="189"/>
      <c r="SS8" s="189"/>
      <c r="ST8" s="189"/>
      <c r="SU8" s="189"/>
      <c r="SV8" s="189"/>
      <c r="SW8" s="189"/>
      <c r="SX8" s="189"/>
      <c r="SY8" s="189"/>
      <c r="SZ8" s="189"/>
      <c r="TA8" s="189"/>
      <c r="TB8" s="189"/>
      <c r="TC8" s="189"/>
      <c r="TD8" s="189"/>
      <c r="TE8" s="189"/>
      <c r="TF8" s="189"/>
      <c r="TG8" s="189"/>
      <c r="TH8" s="189"/>
      <c r="TI8" s="189"/>
      <c r="TJ8" s="189"/>
      <c r="TK8" s="189"/>
      <c r="TL8" s="189"/>
      <c r="TM8" s="189"/>
      <c r="TN8" s="189"/>
      <c r="TO8" s="189"/>
      <c r="TP8" s="189"/>
      <c r="TQ8" s="189"/>
      <c r="TR8" s="189"/>
      <c r="TS8" s="189"/>
      <c r="TT8" s="189"/>
      <c r="TU8" s="189"/>
      <c r="TV8" s="189"/>
      <c r="TW8" s="189"/>
      <c r="TX8" s="189"/>
      <c r="TY8" s="189"/>
      <c r="TZ8" s="189"/>
      <c r="UA8" s="189"/>
      <c r="UB8" s="189"/>
      <c r="UC8" s="189"/>
      <c r="UD8" s="189"/>
      <c r="UE8" s="189"/>
      <c r="UF8" s="189"/>
      <c r="UG8" s="189"/>
      <c r="UH8" s="189"/>
      <c r="UI8" s="189"/>
      <c r="UJ8" s="189"/>
      <c r="UK8" s="189"/>
      <c r="UL8" s="189"/>
      <c r="UM8" s="189"/>
      <c r="UN8" s="189"/>
      <c r="UO8" s="189"/>
      <c r="UP8" s="189"/>
      <c r="UQ8" s="189"/>
      <c r="UR8" s="189"/>
      <c r="US8" s="189"/>
      <c r="UT8" s="189"/>
      <c r="UU8" s="189"/>
      <c r="UV8" s="189"/>
      <c r="UW8" s="189"/>
      <c r="UX8" s="189"/>
      <c r="UY8" s="189"/>
      <c r="UZ8" s="189"/>
      <c r="VA8" s="189"/>
      <c r="VB8" s="189"/>
      <c r="VC8" s="189"/>
      <c r="VD8" s="189"/>
      <c r="VE8" s="189"/>
      <c r="VF8" s="189"/>
      <c r="VG8" s="189"/>
      <c r="VH8" s="189"/>
      <c r="VI8" s="189"/>
      <c r="VJ8" s="189"/>
      <c r="VK8" s="189"/>
      <c r="VL8" s="189"/>
      <c r="VM8" s="189"/>
      <c r="VN8" s="189"/>
      <c r="VO8" s="189"/>
      <c r="VP8" s="189"/>
      <c r="VQ8" s="189"/>
      <c r="VR8" s="189"/>
      <c r="VS8" s="189"/>
      <c r="VT8" s="189"/>
      <c r="VU8" s="189"/>
      <c r="VV8" s="189"/>
      <c r="VW8" s="189"/>
      <c r="VX8" s="189"/>
      <c r="VY8" s="189"/>
      <c r="VZ8" s="189"/>
      <c r="WA8" s="189"/>
      <c r="WB8" s="189"/>
      <c r="WC8" s="189"/>
      <c r="WD8" s="189"/>
      <c r="WE8" s="189"/>
      <c r="WF8" s="189"/>
      <c r="WG8" s="189"/>
      <c r="WH8" s="189"/>
      <c r="WI8" s="189"/>
      <c r="WJ8" s="189"/>
      <c r="WK8" s="189"/>
      <c r="WL8" s="189"/>
      <c r="WM8" s="189"/>
      <c r="WN8" s="189"/>
      <c r="WO8" s="189"/>
      <c r="WP8" s="189"/>
      <c r="WQ8" s="189"/>
      <c r="WR8" s="189"/>
      <c r="WS8" s="189"/>
      <c r="WT8" s="189"/>
      <c r="WU8" s="189"/>
      <c r="WV8" s="189"/>
      <c r="WW8" s="189"/>
      <c r="WX8" s="189"/>
      <c r="WY8" s="189"/>
      <c r="WZ8" s="189"/>
      <c r="XA8" s="189"/>
      <c r="XB8" s="189"/>
      <c r="XC8" s="189"/>
      <c r="XD8" s="189"/>
      <c r="XE8" s="189"/>
      <c r="XF8" s="189"/>
      <c r="XG8" s="189"/>
      <c r="XH8" s="189"/>
      <c r="XI8" s="189"/>
      <c r="XJ8" s="189"/>
      <c r="XK8" s="189"/>
      <c r="XL8" s="189"/>
      <c r="XM8" s="189"/>
      <c r="XN8" s="189"/>
      <c r="XO8" s="189"/>
      <c r="XP8" s="189"/>
      <c r="XQ8" s="189"/>
      <c r="XR8" s="189"/>
      <c r="XS8" s="189"/>
      <c r="XT8" s="189"/>
      <c r="XU8" s="189"/>
      <c r="XV8" s="189"/>
      <c r="XW8" s="189"/>
      <c r="XX8" s="189"/>
      <c r="XY8" s="189"/>
      <c r="XZ8" s="189"/>
      <c r="YA8" s="189"/>
      <c r="YB8" s="189"/>
      <c r="YC8" s="189"/>
      <c r="YD8" s="189"/>
      <c r="YE8" s="189"/>
      <c r="YF8" s="189"/>
      <c r="YG8" s="189"/>
      <c r="YH8" s="189"/>
      <c r="YI8" s="189"/>
      <c r="YJ8" s="189"/>
      <c r="YK8" s="189"/>
      <c r="YL8" s="189"/>
      <c r="YM8" s="189"/>
      <c r="YN8" s="189"/>
      <c r="YO8" s="189"/>
      <c r="YP8" s="189"/>
      <c r="YQ8" s="189"/>
      <c r="YR8" s="189"/>
      <c r="YS8" s="189"/>
      <c r="YT8" s="189"/>
      <c r="YU8" s="189"/>
      <c r="YV8" s="189"/>
      <c r="YW8" s="189"/>
      <c r="YX8" s="189"/>
      <c r="YY8" s="189"/>
      <c r="YZ8" s="189"/>
      <c r="ZA8" s="189"/>
      <c r="ZB8" s="189"/>
      <c r="ZC8" s="189"/>
      <c r="ZD8" s="189"/>
      <c r="ZE8" s="189"/>
      <c r="ZF8" s="189"/>
      <c r="ZG8" s="189"/>
      <c r="ZH8" s="189"/>
      <c r="ZI8" s="189"/>
      <c r="ZJ8" s="189"/>
      <c r="ZK8" s="189"/>
      <c r="ZL8" s="189"/>
      <c r="ZM8" s="189"/>
      <c r="ZN8" s="189"/>
      <c r="ZO8" s="189"/>
      <c r="ZP8" s="189"/>
      <c r="ZQ8" s="189"/>
      <c r="ZR8" s="189"/>
      <c r="ZS8" s="189"/>
      <c r="ZT8" s="189"/>
      <c r="ZU8" s="189"/>
      <c r="ZV8" s="189"/>
      <c r="ZW8" s="189"/>
      <c r="ZX8" s="189"/>
      <c r="ZY8" s="189"/>
      <c r="ZZ8" s="189"/>
      <c r="AAA8" s="189"/>
      <c r="AAB8" s="189"/>
      <c r="AAC8" s="189"/>
      <c r="AAD8" s="189"/>
      <c r="AAE8" s="189"/>
      <c r="AAF8" s="189"/>
      <c r="AAG8" s="189"/>
      <c r="AAH8" s="189"/>
      <c r="AAI8" s="189"/>
      <c r="AAJ8" s="189"/>
      <c r="AAK8" s="189"/>
      <c r="AAL8" s="189"/>
      <c r="AAM8" s="189"/>
      <c r="AAN8" s="189"/>
      <c r="AAO8" s="189"/>
      <c r="AAP8" s="189"/>
      <c r="AAQ8" s="189"/>
      <c r="AAR8" s="189"/>
      <c r="AAS8" s="189"/>
      <c r="AAT8" s="189"/>
      <c r="AAU8" s="189"/>
      <c r="AAV8" s="189"/>
      <c r="AAW8" s="189"/>
      <c r="AAX8" s="189"/>
      <c r="AAY8" s="189"/>
      <c r="AAZ8" s="189"/>
      <c r="ABA8" s="189"/>
      <c r="ABB8" s="189"/>
      <c r="ABC8" s="189"/>
      <c r="ABD8" s="189"/>
      <c r="ABE8" s="189"/>
      <c r="ABF8" s="189"/>
      <c r="ABG8" s="189"/>
      <c r="ABH8" s="189"/>
      <c r="ABI8" s="189"/>
      <c r="ABJ8" s="189"/>
      <c r="ABK8" s="189"/>
      <c r="ABL8" s="189"/>
      <c r="ABM8" s="189"/>
      <c r="ABN8" s="189"/>
      <c r="ABO8" s="189"/>
      <c r="ABP8" s="189"/>
      <c r="ABQ8" s="189"/>
      <c r="ABR8" s="189"/>
      <c r="ABS8" s="189"/>
      <c r="ABT8" s="189"/>
      <c r="ABU8" s="189"/>
      <c r="ABV8" s="189"/>
      <c r="ABW8" s="189"/>
      <c r="ABX8" s="189"/>
      <c r="ABY8" s="189"/>
      <c r="ABZ8" s="189"/>
      <c r="ACA8" s="189"/>
      <c r="ACB8" s="189"/>
      <c r="ACC8" s="189"/>
      <c r="ACD8" s="189"/>
      <c r="ACE8" s="189"/>
      <c r="ACF8" s="189"/>
      <c r="ACG8" s="189"/>
      <c r="ACH8" s="189"/>
      <c r="ACI8" s="189"/>
      <c r="ACJ8" s="189"/>
      <c r="ACK8" s="189"/>
      <c r="ACL8" s="189"/>
      <c r="ACM8" s="189"/>
      <c r="ACN8" s="189"/>
      <c r="ACO8" s="189"/>
      <c r="ACP8" s="189"/>
      <c r="ACQ8" s="189"/>
      <c r="ACR8" s="189"/>
      <c r="ACS8" s="189"/>
      <c r="ACT8" s="189"/>
      <c r="ACU8" s="189"/>
      <c r="ACV8" s="189"/>
      <c r="ACW8" s="189"/>
      <c r="ACX8" s="189"/>
      <c r="ACY8" s="189"/>
      <c r="ACZ8" s="189"/>
      <c r="ADA8" s="189"/>
      <c r="ADB8" s="189"/>
      <c r="ADC8" s="189"/>
      <c r="ADD8" s="189"/>
      <c r="ADE8" s="189"/>
      <c r="ADF8" s="189"/>
      <c r="ADG8" s="189"/>
      <c r="ADH8" s="189"/>
      <c r="ADI8" s="189"/>
      <c r="ADJ8" s="189"/>
      <c r="ADK8" s="189"/>
      <c r="ADL8" s="189"/>
      <c r="ADM8" s="189"/>
      <c r="ADN8" s="189"/>
      <c r="ADO8" s="189"/>
      <c r="ADP8" s="189"/>
      <c r="ADQ8" s="189"/>
      <c r="ADR8" s="189"/>
      <c r="ADS8" s="189"/>
      <c r="ADT8" s="189"/>
      <c r="ADU8" s="189"/>
      <c r="ADV8" s="189"/>
      <c r="ADW8" s="189"/>
      <c r="ADX8" s="189"/>
      <c r="ADY8" s="189"/>
      <c r="ADZ8" s="189"/>
      <c r="AEA8" s="189"/>
      <c r="AEB8" s="189"/>
      <c r="AEC8" s="189"/>
      <c r="AED8" s="189"/>
      <c r="AEE8" s="189"/>
      <c r="AEF8" s="189"/>
      <c r="AEG8" s="189"/>
      <c r="AEH8" s="189"/>
      <c r="AEI8" s="189"/>
      <c r="AEJ8" s="189"/>
      <c r="AEK8" s="189"/>
      <c r="AEL8" s="189"/>
      <c r="AEM8" s="189"/>
      <c r="AEN8" s="189"/>
      <c r="AEO8" s="189"/>
      <c r="AEP8" s="189"/>
      <c r="AEQ8" s="189"/>
      <c r="AER8" s="189"/>
      <c r="AES8" s="189"/>
      <c r="AET8" s="189"/>
      <c r="AEU8" s="189"/>
      <c r="AEV8" s="189"/>
      <c r="AEW8" s="189"/>
      <c r="AEX8" s="189"/>
      <c r="AEY8" s="189"/>
      <c r="AEZ8" s="189"/>
      <c r="AFA8" s="189"/>
      <c r="AFB8" s="189"/>
      <c r="AFC8" s="189"/>
      <c r="AFD8" s="189"/>
      <c r="AFE8" s="189"/>
      <c r="AFF8" s="189"/>
      <c r="AFG8" s="189"/>
      <c r="AFH8" s="189"/>
      <c r="AFI8" s="189"/>
      <c r="AFJ8" s="189"/>
      <c r="AFK8" s="189"/>
      <c r="AFL8" s="189"/>
      <c r="AFM8" s="189"/>
      <c r="AFN8" s="189"/>
      <c r="AFO8" s="189"/>
      <c r="AFP8" s="189"/>
      <c r="AFQ8" s="189"/>
      <c r="AFR8" s="189"/>
      <c r="AFS8" s="189"/>
      <c r="AFT8" s="189"/>
      <c r="AFU8" s="189"/>
      <c r="AFV8" s="189"/>
      <c r="AFW8" s="189"/>
      <c r="AFX8" s="189"/>
      <c r="AFY8" s="189"/>
      <c r="AFZ8" s="189"/>
      <c r="AGA8" s="189"/>
      <c r="AGB8" s="189"/>
      <c r="AGC8" s="189"/>
      <c r="AGD8" s="189"/>
      <c r="AGE8" s="189"/>
      <c r="AGF8" s="189"/>
      <c r="AGG8" s="189"/>
      <c r="AGH8" s="189"/>
      <c r="AGI8" s="189"/>
      <c r="AGJ8" s="189"/>
      <c r="AGK8" s="189"/>
      <c r="AGL8" s="189"/>
      <c r="AGM8" s="189"/>
      <c r="AGN8" s="189"/>
      <c r="AGO8" s="189"/>
      <c r="AGP8" s="189"/>
      <c r="AGQ8" s="189"/>
      <c r="AGR8" s="189"/>
      <c r="AGS8" s="189"/>
      <c r="AGT8" s="189"/>
      <c r="AGU8" s="189"/>
      <c r="AGV8" s="189"/>
      <c r="AGW8" s="189"/>
      <c r="AGX8" s="189"/>
      <c r="AGY8" s="189"/>
      <c r="AGZ8" s="189"/>
      <c r="AHA8" s="189"/>
      <c r="AHB8" s="189"/>
      <c r="AHC8" s="189"/>
      <c r="AHD8" s="189"/>
      <c r="AHE8" s="189"/>
      <c r="AHF8" s="189"/>
      <c r="AHG8" s="189"/>
      <c r="AHH8" s="189"/>
      <c r="AHI8" s="189"/>
      <c r="AHJ8" s="189"/>
      <c r="AHK8" s="189"/>
      <c r="AHL8" s="189"/>
      <c r="AHM8" s="189"/>
      <c r="AHN8" s="189"/>
      <c r="AHO8" s="189"/>
      <c r="AHP8" s="189"/>
      <c r="AHQ8" s="189"/>
      <c r="AHR8" s="189"/>
      <c r="AHS8" s="189"/>
      <c r="AHT8" s="189"/>
      <c r="AHU8" s="189"/>
      <c r="AHV8" s="189"/>
      <c r="AHW8" s="189"/>
      <c r="AHX8" s="189"/>
      <c r="AHY8" s="189"/>
      <c r="AHZ8" s="189"/>
      <c r="AIA8" s="189"/>
      <c r="AIB8" s="189"/>
      <c r="AIC8" s="189"/>
      <c r="AID8" s="189"/>
      <c r="AIE8" s="189"/>
      <c r="AIF8" s="189"/>
      <c r="AIG8" s="189"/>
      <c r="AIH8" s="189"/>
      <c r="AII8" s="189"/>
      <c r="AIJ8" s="189"/>
      <c r="AIK8" s="189"/>
      <c r="AIL8" s="189"/>
      <c r="AIM8" s="189"/>
      <c r="AIN8" s="189"/>
      <c r="AIO8" s="189"/>
      <c r="AIP8" s="189"/>
      <c r="AIQ8" s="189"/>
      <c r="AIR8" s="189"/>
      <c r="AIS8" s="189"/>
      <c r="AIT8" s="189"/>
      <c r="AIU8" s="189"/>
      <c r="AIV8" s="189"/>
      <c r="AIW8" s="189"/>
      <c r="AIX8" s="189"/>
      <c r="AIY8" s="189"/>
      <c r="AIZ8" s="189"/>
      <c r="AJA8" s="189"/>
      <c r="AJB8" s="189"/>
      <c r="AJC8" s="189"/>
      <c r="AJD8" s="189"/>
      <c r="AJE8" s="189"/>
      <c r="AJF8" s="189"/>
      <c r="AJG8" s="189"/>
      <c r="AJH8" s="189"/>
      <c r="AJI8" s="189"/>
      <c r="AJJ8" s="189"/>
      <c r="AJK8" s="189"/>
      <c r="AJL8" s="189"/>
      <c r="AJM8" s="189"/>
      <c r="AJN8" s="189"/>
      <c r="AJO8" s="189"/>
      <c r="AJP8" s="189"/>
      <c r="AJQ8" s="189"/>
      <c r="AJR8" s="189"/>
      <c r="AJS8" s="189"/>
      <c r="AJT8" s="189"/>
      <c r="AJU8" s="189"/>
      <c r="AJV8" s="189"/>
      <c r="AJW8" s="189"/>
      <c r="AJX8" s="189"/>
      <c r="AJY8" s="189"/>
      <c r="AJZ8" s="189"/>
      <c r="AKA8" s="189"/>
      <c r="AKB8" s="189"/>
      <c r="AKC8" s="189"/>
      <c r="AKD8" s="189"/>
      <c r="AKE8" s="189"/>
      <c r="AKF8" s="189"/>
      <c r="AKG8" s="189"/>
      <c r="AKH8" s="189"/>
      <c r="AKI8" s="189"/>
      <c r="AKJ8" s="189"/>
      <c r="AKK8" s="189"/>
      <c r="AKL8" s="189"/>
      <c r="AKM8" s="189"/>
      <c r="AKN8" s="189"/>
      <c r="AKO8" s="189"/>
      <c r="AKP8" s="189"/>
      <c r="AKQ8" s="189"/>
      <c r="AKR8" s="189"/>
      <c r="AKS8" s="189"/>
      <c r="AKT8" s="189"/>
      <c r="AKU8" s="189"/>
      <c r="AKV8" s="189"/>
      <c r="AKW8" s="189"/>
      <c r="AKX8" s="189"/>
      <c r="AKY8" s="189"/>
      <c r="AKZ8" s="189"/>
      <c r="ALA8" s="189"/>
      <c r="ALB8" s="189"/>
      <c r="ALC8" s="189"/>
      <c r="ALD8" s="189"/>
      <c r="ALE8" s="189"/>
      <c r="ALF8" s="189"/>
      <c r="ALG8" s="189"/>
      <c r="ALH8" s="189"/>
      <c r="ALI8" s="189"/>
      <c r="ALJ8" s="189"/>
      <c r="ALK8" s="189"/>
      <c r="ALL8" s="189"/>
      <c r="ALM8" s="189"/>
      <c r="ALN8" s="189"/>
      <c r="ALO8" s="189"/>
      <c r="ALP8" s="189"/>
      <c r="ALQ8" s="189"/>
      <c r="ALR8" s="189"/>
      <c r="ALS8" s="189"/>
      <c r="ALT8" s="189"/>
      <c r="ALU8" s="189"/>
      <c r="ALV8" s="189"/>
      <c r="ALW8" s="189"/>
      <c r="ALX8" s="189"/>
      <c r="ALY8" s="189"/>
      <c r="ALZ8" s="189"/>
      <c r="AMA8" s="189"/>
      <c r="AMB8" s="189"/>
      <c r="AMC8" s="189"/>
      <c r="AMD8" s="189"/>
      <c r="AME8" s="189"/>
      <c r="AMF8" s="189"/>
      <c r="AMG8" s="189"/>
      <c r="AMH8" s="189"/>
      <c r="AMI8" s="189"/>
      <c r="AMJ8" s="189"/>
      <c r="AMK8" s="189"/>
      <c r="AML8" s="189"/>
      <c r="AMM8" s="189"/>
      <c r="AMN8" s="189"/>
      <c r="AMO8" s="189"/>
      <c r="AMP8" s="189"/>
      <c r="AMQ8" s="189"/>
      <c r="AMR8" s="189"/>
      <c r="AMS8" s="189"/>
      <c r="AMT8" s="189"/>
      <c r="AMU8" s="189"/>
      <c r="AMV8" s="189"/>
      <c r="AMW8" s="189"/>
      <c r="AMX8" s="189"/>
      <c r="AMY8" s="189"/>
      <c r="AMZ8" s="189"/>
      <c r="ANA8" s="189"/>
      <c r="ANB8" s="189"/>
      <c r="ANC8" s="189"/>
      <c r="AND8" s="189"/>
      <c r="ANE8" s="189"/>
      <c r="ANF8" s="189"/>
      <c r="ANG8" s="189"/>
      <c r="ANH8" s="189"/>
      <c r="ANI8" s="189"/>
      <c r="ANJ8" s="189"/>
      <c r="ANK8" s="189"/>
      <c r="ANL8" s="189"/>
      <c r="ANM8" s="189"/>
      <c r="ANN8" s="189"/>
      <c r="ANO8" s="189"/>
      <c r="ANP8" s="189"/>
      <c r="ANQ8" s="189"/>
      <c r="ANR8" s="189"/>
      <c r="ANS8" s="189"/>
      <c r="ANT8" s="189"/>
      <c r="ANU8" s="189"/>
      <c r="ANV8" s="189"/>
      <c r="ANW8" s="189"/>
      <c r="ANX8" s="189"/>
      <c r="ANY8" s="189"/>
      <c r="ANZ8" s="189"/>
      <c r="AOA8" s="189"/>
      <c r="AOB8" s="189"/>
      <c r="AOC8" s="189"/>
      <c r="AOD8" s="189"/>
      <c r="AOE8" s="189"/>
      <c r="AOF8" s="189"/>
      <c r="AOG8" s="189"/>
      <c r="AOH8" s="189"/>
      <c r="AOI8" s="189"/>
      <c r="AOJ8" s="189"/>
      <c r="AOK8" s="189"/>
      <c r="AOL8" s="189"/>
      <c r="AOM8" s="189"/>
      <c r="AON8" s="189"/>
      <c r="AOO8" s="189"/>
      <c r="AOP8" s="189"/>
      <c r="AOQ8" s="189"/>
      <c r="AOR8" s="189"/>
      <c r="AOS8" s="189"/>
      <c r="AOT8" s="189"/>
      <c r="AOU8" s="189"/>
      <c r="AOV8" s="189"/>
      <c r="AOW8" s="189"/>
      <c r="AOX8" s="189"/>
      <c r="AOY8" s="189"/>
      <c r="AOZ8" s="189"/>
      <c r="APA8" s="189"/>
      <c r="APB8" s="189"/>
      <c r="APC8" s="189"/>
      <c r="APD8" s="189"/>
      <c r="APE8" s="189"/>
      <c r="APF8" s="189"/>
      <c r="APG8" s="189"/>
      <c r="APH8" s="189"/>
      <c r="API8" s="189"/>
      <c r="APJ8" s="189"/>
      <c r="APK8" s="189"/>
      <c r="APL8" s="189"/>
      <c r="APM8" s="189"/>
      <c r="APN8" s="189"/>
      <c r="APO8" s="189"/>
      <c r="APP8" s="189"/>
      <c r="APQ8" s="189"/>
      <c r="APR8" s="189"/>
      <c r="APS8" s="189"/>
      <c r="APT8" s="189"/>
      <c r="APU8" s="189"/>
      <c r="APV8" s="189"/>
      <c r="APW8" s="189"/>
      <c r="APX8" s="189"/>
      <c r="APY8" s="189"/>
      <c r="APZ8" s="189"/>
      <c r="AQA8" s="189"/>
      <c r="AQB8" s="189"/>
      <c r="AQC8" s="189"/>
      <c r="AQD8" s="189"/>
      <c r="AQE8" s="189"/>
      <c r="AQF8" s="189"/>
      <c r="AQG8" s="189"/>
      <c r="AQH8" s="189"/>
      <c r="AQI8" s="189"/>
      <c r="AQJ8" s="189"/>
      <c r="AQK8" s="189"/>
      <c r="AQL8" s="189"/>
      <c r="AQM8" s="189"/>
      <c r="AQN8" s="189"/>
      <c r="AQO8" s="189"/>
      <c r="AQP8" s="189"/>
      <c r="AQQ8" s="189"/>
      <c r="AQR8" s="189"/>
      <c r="AQS8" s="189"/>
      <c r="AQT8" s="189"/>
      <c r="AQU8" s="189"/>
      <c r="AQV8" s="189"/>
      <c r="AQW8" s="189"/>
      <c r="AQX8" s="189"/>
      <c r="AQY8" s="189"/>
      <c r="AQZ8" s="189"/>
      <c r="ARA8" s="189"/>
      <c r="ARB8" s="189"/>
      <c r="ARC8" s="189"/>
      <c r="ARD8" s="189"/>
      <c r="ARE8" s="189"/>
      <c r="ARF8" s="189"/>
      <c r="ARG8" s="189"/>
      <c r="ARH8" s="189"/>
      <c r="ARI8" s="189"/>
      <c r="ARJ8" s="189"/>
      <c r="ARK8" s="189"/>
      <c r="ARL8" s="189"/>
      <c r="ARM8" s="189"/>
      <c r="ARN8" s="189"/>
      <c r="ARO8" s="189"/>
      <c r="ARP8" s="189"/>
      <c r="ARQ8" s="189"/>
      <c r="ARR8" s="189"/>
      <c r="ARS8" s="189"/>
      <c r="ART8" s="189"/>
      <c r="ARU8" s="189"/>
      <c r="ARV8" s="189"/>
      <c r="ARW8" s="189"/>
      <c r="ARX8" s="189"/>
      <c r="ARY8" s="189"/>
      <c r="ARZ8" s="189"/>
      <c r="ASA8" s="189"/>
      <c r="ASB8" s="189"/>
      <c r="ASC8" s="189"/>
      <c r="ASD8" s="189"/>
      <c r="ASE8" s="189"/>
      <c r="ASF8" s="189"/>
      <c r="ASG8" s="189"/>
      <c r="ASH8" s="189"/>
      <c r="ASI8" s="189"/>
      <c r="ASJ8" s="189"/>
      <c r="ASK8" s="189"/>
      <c r="ASL8" s="189"/>
      <c r="ASM8" s="189"/>
      <c r="ASN8" s="189"/>
      <c r="ASO8" s="189"/>
      <c r="ASP8" s="189"/>
      <c r="ASQ8" s="189"/>
      <c r="ASR8" s="189"/>
      <c r="ASS8" s="189"/>
      <c r="AST8" s="189"/>
      <c r="ASU8" s="189"/>
      <c r="ASV8" s="189"/>
      <c r="ASW8" s="189"/>
      <c r="ASX8" s="189"/>
      <c r="ASY8" s="189"/>
      <c r="ASZ8" s="189"/>
      <c r="ATA8" s="189"/>
      <c r="ATB8" s="189"/>
      <c r="ATC8" s="189"/>
      <c r="ATD8" s="189"/>
      <c r="ATE8" s="189"/>
      <c r="ATF8" s="189"/>
      <c r="ATG8" s="189"/>
      <c r="ATH8" s="189"/>
      <c r="ATI8" s="189"/>
      <c r="ATJ8" s="189"/>
      <c r="ATK8" s="189"/>
      <c r="ATL8" s="189"/>
      <c r="ATM8" s="189"/>
      <c r="ATN8" s="189"/>
      <c r="ATO8" s="189"/>
      <c r="ATP8" s="189"/>
      <c r="ATQ8" s="189"/>
      <c r="ATR8" s="189"/>
      <c r="ATS8" s="189"/>
      <c r="ATT8" s="189"/>
      <c r="ATU8" s="189"/>
      <c r="ATV8" s="189"/>
      <c r="ATW8" s="189"/>
      <c r="ATX8" s="189"/>
      <c r="ATY8" s="189"/>
      <c r="ATZ8" s="189"/>
      <c r="AUA8" s="189"/>
      <c r="AUB8" s="189"/>
      <c r="AUC8" s="189"/>
      <c r="AUD8" s="189"/>
      <c r="AUE8" s="189"/>
      <c r="AUF8" s="189"/>
      <c r="AUG8" s="189"/>
      <c r="AUH8" s="189"/>
      <c r="AUI8" s="189"/>
      <c r="AUJ8" s="189"/>
      <c r="AUK8" s="189"/>
      <c r="AUL8" s="189"/>
      <c r="AUM8" s="189"/>
      <c r="AUN8" s="189"/>
      <c r="AUO8" s="189"/>
      <c r="AUP8" s="189"/>
      <c r="AUQ8" s="189"/>
      <c r="AUR8" s="189"/>
      <c r="AUS8" s="189"/>
      <c r="AUT8" s="189"/>
      <c r="AUU8" s="189"/>
      <c r="AUV8" s="189"/>
      <c r="AUW8" s="189"/>
      <c r="AUX8" s="189"/>
      <c r="AUY8" s="189"/>
      <c r="AUZ8" s="189"/>
      <c r="AVA8" s="189"/>
      <c r="AVB8" s="189"/>
      <c r="AVC8" s="189"/>
      <c r="AVD8" s="189"/>
      <c r="AVE8" s="189"/>
      <c r="AVF8" s="189"/>
      <c r="AVG8" s="189"/>
      <c r="AVH8" s="189"/>
      <c r="AVI8" s="189"/>
      <c r="AVJ8" s="189"/>
      <c r="AVK8" s="189"/>
      <c r="AVL8" s="189"/>
      <c r="AVM8" s="189"/>
      <c r="AVN8" s="189"/>
      <c r="AVO8" s="189"/>
      <c r="AVP8" s="189"/>
      <c r="AVQ8" s="189"/>
      <c r="AVR8" s="189"/>
      <c r="AVS8" s="189"/>
      <c r="AVT8" s="189"/>
      <c r="AVU8" s="189"/>
      <c r="AVV8" s="189"/>
      <c r="AVW8" s="189"/>
      <c r="AVX8" s="189"/>
      <c r="AVY8" s="189"/>
      <c r="AVZ8" s="189"/>
      <c r="AWA8" s="189"/>
      <c r="AWB8" s="189"/>
      <c r="AWC8" s="189"/>
      <c r="AWD8" s="189"/>
      <c r="AWE8" s="189"/>
      <c r="AWF8" s="189"/>
      <c r="AWG8" s="189"/>
      <c r="AWH8" s="189"/>
      <c r="AWI8" s="189"/>
      <c r="AWJ8" s="189"/>
      <c r="AWK8" s="189"/>
      <c r="AWL8" s="189"/>
      <c r="AWM8" s="189"/>
      <c r="AWN8" s="189"/>
      <c r="AWO8" s="189"/>
      <c r="AWP8" s="189"/>
      <c r="AWQ8" s="189"/>
      <c r="AWR8" s="189"/>
      <c r="AWS8" s="189"/>
      <c r="AWT8" s="189"/>
      <c r="AWU8" s="189"/>
      <c r="AWV8" s="189"/>
      <c r="AWW8" s="189"/>
      <c r="AWX8" s="189"/>
      <c r="AWY8" s="189"/>
      <c r="AWZ8" s="189"/>
      <c r="AXA8" s="189"/>
      <c r="AXB8" s="189"/>
      <c r="AXC8" s="189"/>
      <c r="AXD8" s="189"/>
      <c r="AXE8" s="189"/>
      <c r="AXF8" s="189"/>
      <c r="AXG8" s="189"/>
      <c r="AXH8" s="189"/>
      <c r="AXI8" s="189"/>
      <c r="AXJ8" s="189"/>
      <c r="AXK8" s="189"/>
      <c r="AXL8" s="189"/>
      <c r="AXM8" s="189"/>
      <c r="AXN8" s="189"/>
      <c r="AXO8" s="189"/>
      <c r="AXP8" s="189"/>
      <c r="AXQ8" s="189"/>
      <c r="AXR8" s="189"/>
      <c r="AXS8" s="189"/>
      <c r="AXT8" s="189"/>
      <c r="AXU8" s="189"/>
      <c r="AXV8" s="189"/>
      <c r="AXW8" s="189"/>
      <c r="AXX8" s="189"/>
      <c r="AXY8" s="189"/>
      <c r="AXZ8" s="189"/>
      <c r="AYA8" s="189"/>
      <c r="AYB8" s="189"/>
      <c r="AYC8" s="189"/>
      <c r="AYD8" s="189"/>
      <c r="AYE8" s="189"/>
      <c r="AYF8" s="189"/>
      <c r="AYG8" s="189"/>
      <c r="AYH8" s="189"/>
      <c r="AYI8" s="189"/>
      <c r="AYJ8" s="189"/>
      <c r="AYK8" s="189"/>
      <c r="AYL8" s="189"/>
      <c r="AYM8" s="189"/>
      <c r="AYN8" s="189"/>
      <c r="AYO8" s="189"/>
      <c r="AYP8" s="189"/>
      <c r="AYQ8" s="189"/>
      <c r="AYR8" s="189"/>
      <c r="AYS8" s="189"/>
      <c r="AYT8" s="189"/>
      <c r="AYU8" s="189"/>
      <c r="AYV8" s="189"/>
      <c r="AYW8" s="189"/>
      <c r="AYX8" s="189"/>
      <c r="AYY8" s="189"/>
      <c r="AYZ8" s="189"/>
      <c r="AZA8" s="189"/>
      <c r="AZB8" s="189"/>
      <c r="AZC8" s="189"/>
      <c r="AZD8" s="189"/>
      <c r="AZE8" s="189"/>
      <c r="AZF8" s="189"/>
      <c r="AZG8" s="189"/>
      <c r="AZH8" s="189"/>
      <c r="AZI8" s="189"/>
      <c r="AZJ8" s="189"/>
      <c r="AZK8" s="189"/>
      <c r="AZL8" s="189"/>
      <c r="AZM8" s="189"/>
      <c r="AZN8" s="189"/>
      <c r="AZO8" s="189"/>
      <c r="AZP8" s="189"/>
      <c r="AZQ8" s="189"/>
      <c r="AZR8" s="189"/>
      <c r="AZS8" s="189"/>
      <c r="AZT8" s="189"/>
      <c r="AZU8" s="189"/>
      <c r="AZV8" s="189"/>
      <c r="AZW8" s="189"/>
      <c r="AZX8" s="189"/>
      <c r="AZY8" s="189"/>
      <c r="AZZ8" s="189"/>
      <c r="BAA8" s="189"/>
      <c r="BAB8" s="189"/>
      <c r="BAC8" s="189"/>
      <c r="BAD8" s="189"/>
      <c r="BAE8" s="189"/>
      <c r="BAF8" s="189"/>
      <c r="BAG8" s="189"/>
      <c r="BAH8" s="189"/>
      <c r="BAI8" s="189"/>
      <c r="BAJ8" s="189"/>
      <c r="BAK8" s="189"/>
      <c r="BAL8" s="189"/>
      <c r="BAM8" s="189"/>
      <c r="BAN8" s="189"/>
      <c r="BAO8" s="189"/>
      <c r="BAP8" s="189"/>
      <c r="BAQ8" s="189"/>
      <c r="BAR8" s="189"/>
      <c r="BAS8" s="189"/>
      <c r="BAT8" s="189"/>
      <c r="BAU8" s="189"/>
      <c r="BAV8" s="189"/>
      <c r="BAW8" s="189"/>
      <c r="BAX8" s="189"/>
      <c r="BAY8" s="189"/>
      <c r="BAZ8" s="189"/>
      <c r="BBA8" s="189"/>
      <c r="BBB8" s="189"/>
      <c r="BBC8" s="189"/>
      <c r="BBD8" s="189"/>
      <c r="BBE8" s="189"/>
      <c r="BBF8" s="189"/>
      <c r="BBG8" s="189"/>
      <c r="BBH8" s="189"/>
      <c r="BBI8" s="189"/>
      <c r="BBJ8" s="189"/>
      <c r="BBK8" s="189"/>
      <c r="BBL8" s="189"/>
      <c r="BBM8" s="189"/>
      <c r="BBN8" s="189"/>
      <c r="BBO8" s="189"/>
      <c r="BBP8" s="189"/>
      <c r="BBQ8" s="189"/>
      <c r="BBR8" s="189"/>
      <c r="BBS8" s="189"/>
      <c r="BBT8" s="189"/>
      <c r="BBU8" s="189"/>
      <c r="BBV8" s="189"/>
      <c r="BBW8" s="189"/>
      <c r="BBX8" s="189"/>
      <c r="BBY8" s="189"/>
      <c r="BBZ8" s="189"/>
      <c r="BCA8" s="189"/>
      <c r="BCB8" s="189"/>
      <c r="BCC8" s="189"/>
      <c r="BCD8" s="189"/>
      <c r="BCE8" s="189"/>
      <c r="BCF8" s="189"/>
      <c r="BCG8" s="189"/>
      <c r="BCH8" s="189"/>
      <c r="BCI8" s="189"/>
      <c r="BCJ8" s="189"/>
      <c r="BCK8" s="189"/>
      <c r="BCL8" s="189"/>
      <c r="BCM8" s="189"/>
      <c r="BCN8" s="189"/>
      <c r="BCO8" s="189"/>
      <c r="BCP8" s="189"/>
      <c r="BCQ8" s="189"/>
      <c r="BCR8" s="189"/>
      <c r="BCS8" s="189"/>
      <c r="BCT8" s="189"/>
      <c r="BCU8" s="189"/>
      <c r="BCV8" s="189"/>
      <c r="BCW8" s="189"/>
      <c r="BCX8" s="189"/>
      <c r="BCY8" s="189"/>
      <c r="BCZ8" s="189"/>
      <c r="BDA8" s="189"/>
      <c r="BDB8" s="189"/>
      <c r="BDC8" s="189"/>
      <c r="BDD8" s="189"/>
      <c r="BDE8" s="189"/>
      <c r="BDF8" s="189"/>
      <c r="BDG8" s="189"/>
      <c r="BDH8" s="189"/>
      <c r="BDI8" s="189"/>
      <c r="BDJ8" s="189"/>
      <c r="BDK8" s="189"/>
      <c r="BDL8" s="189"/>
      <c r="BDM8" s="189"/>
      <c r="BDN8" s="189"/>
      <c r="BDO8" s="189"/>
      <c r="BDP8" s="189"/>
      <c r="BDQ8" s="189"/>
      <c r="BDR8" s="189"/>
      <c r="BDS8" s="189"/>
      <c r="BDT8" s="189"/>
      <c r="BDU8" s="189"/>
      <c r="BDV8" s="189"/>
      <c r="BDW8" s="189"/>
      <c r="BDX8" s="189"/>
      <c r="BDY8" s="189"/>
      <c r="BDZ8" s="189"/>
      <c r="BEA8" s="189"/>
      <c r="BEB8" s="189"/>
      <c r="BEC8" s="189"/>
      <c r="BED8" s="189"/>
      <c r="BEE8" s="189"/>
      <c r="BEF8" s="189"/>
      <c r="BEG8" s="189"/>
      <c r="BEH8" s="189"/>
      <c r="BEI8" s="189"/>
      <c r="BEJ8" s="189"/>
      <c r="BEK8" s="189"/>
      <c r="BEL8" s="189"/>
      <c r="BEM8" s="189"/>
      <c r="BEN8" s="189"/>
      <c r="BEO8" s="189"/>
      <c r="BEP8" s="189"/>
      <c r="BEQ8" s="189"/>
      <c r="BER8" s="189"/>
      <c r="BES8" s="189"/>
      <c r="BET8" s="189"/>
      <c r="BEU8" s="189"/>
      <c r="BEV8" s="189"/>
      <c r="BEW8" s="189"/>
      <c r="BEX8" s="189"/>
      <c r="BEY8" s="189"/>
      <c r="BEZ8" s="189"/>
      <c r="BFA8" s="189"/>
      <c r="BFB8" s="189"/>
      <c r="BFC8" s="189"/>
      <c r="BFD8" s="189"/>
      <c r="BFE8" s="189"/>
      <c r="BFF8" s="189"/>
      <c r="BFG8" s="189"/>
      <c r="BFH8" s="189"/>
      <c r="BFI8" s="189"/>
      <c r="BFJ8" s="189"/>
      <c r="BFK8" s="189"/>
      <c r="BFL8" s="189"/>
      <c r="BFM8" s="189"/>
      <c r="BFN8" s="189"/>
      <c r="BFO8" s="189"/>
      <c r="BFP8" s="189"/>
      <c r="BFQ8" s="189"/>
      <c r="BFR8" s="189"/>
      <c r="BFS8" s="189"/>
      <c r="BFT8" s="189"/>
      <c r="BFU8" s="189"/>
      <c r="BFV8" s="189"/>
      <c r="BFW8" s="189"/>
      <c r="BFX8" s="189"/>
      <c r="BFY8" s="189"/>
      <c r="BFZ8" s="189"/>
      <c r="BGA8" s="189"/>
      <c r="BGB8" s="189"/>
      <c r="BGC8" s="189"/>
      <c r="BGD8" s="189"/>
      <c r="BGE8" s="189"/>
      <c r="BGF8" s="189"/>
      <c r="BGG8" s="189"/>
      <c r="BGH8" s="189"/>
      <c r="BGI8" s="189"/>
      <c r="BGJ8" s="189"/>
      <c r="BGK8" s="189"/>
      <c r="BGL8" s="189"/>
      <c r="BGM8" s="189"/>
      <c r="BGN8" s="189"/>
      <c r="BGO8" s="189"/>
      <c r="BGP8" s="189"/>
      <c r="BGQ8" s="189"/>
      <c r="BGR8" s="189"/>
      <c r="BGS8" s="189"/>
      <c r="BGT8" s="189"/>
      <c r="BGU8" s="189"/>
      <c r="BGV8" s="189"/>
      <c r="BGW8" s="189"/>
      <c r="BGX8" s="189"/>
      <c r="BGY8" s="189"/>
      <c r="BGZ8" s="189"/>
      <c r="BHA8" s="189"/>
      <c r="BHB8" s="189"/>
      <c r="BHC8" s="189"/>
      <c r="BHD8" s="189"/>
      <c r="BHE8" s="189"/>
      <c r="BHF8" s="189"/>
      <c r="BHG8" s="189"/>
      <c r="BHH8" s="189"/>
      <c r="BHI8" s="189"/>
      <c r="BHJ8" s="189"/>
      <c r="BHK8" s="189"/>
      <c r="BHL8" s="189"/>
      <c r="BHM8" s="189"/>
      <c r="BHN8" s="189"/>
      <c r="BHO8" s="189"/>
      <c r="BHP8" s="189"/>
      <c r="BHQ8" s="189"/>
      <c r="BHR8" s="189"/>
      <c r="BHS8" s="189"/>
      <c r="BHT8" s="189"/>
      <c r="BHU8" s="189"/>
      <c r="BHV8" s="189"/>
      <c r="BHW8" s="189"/>
      <c r="BHX8" s="189"/>
      <c r="BHY8" s="189"/>
      <c r="BHZ8" s="189"/>
      <c r="BIA8" s="189"/>
      <c r="BIB8" s="189"/>
      <c r="BIC8" s="189"/>
      <c r="BID8" s="189"/>
      <c r="BIE8" s="189"/>
      <c r="BIF8" s="189"/>
      <c r="BIG8" s="189"/>
      <c r="BIH8" s="189"/>
      <c r="BII8" s="189"/>
      <c r="BIJ8" s="189"/>
      <c r="BIK8" s="189"/>
      <c r="BIL8" s="189"/>
      <c r="BIM8" s="189"/>
      <c r="BIN8" s="189"/>
      <c r="BIO8" s="189"/>
      <c r="BIP8" s="189"/>
      <c r="BIQ8" s="189"/>
      <c r="BIR8" s="189"/>
      <c r="BIS8" s="189"/>
      <c r="BIT8" s="189"/>
      <c r="BIU8" s="189"/>
      <c r="BIV8" s="189"/>
      <c r="BIW8" s="189"/>
      <c r="BIX8" s="189"/>
      <c r="BIY8" s="189"/>
      <c r="BIZ8" s="189"/>
      <c r="BJA8" s="189"/>
      <c r="BJB8" s="189"/>
      <c r="BJC8" s="189"/>
      <c r="BJD8" s="189"/>
      <c r="BJE8" s="189"/>
      <c r="BJF8" s="189"/>
      <c r="BJG8" s="189"/>
      <c r="BJH8" s="189"/>
      <c r="BJI8" s="189"/>
      <c r="BJJ8" s="189"/>
      <c r="BJK8" s="189"/>
      <c r="BJL8" s="189"/>
      <c r="BJM8" s="189"/>
      <c r="BJN8" s="189"/>
      <c r="BJO8" s="189"/>
      <c r="BJP8" s="189"/>
      <c r="BJQ8" s="189"/>
      <c r="BJR8" s="189"/>
      <c r="BJS8" s="189"/>
      <c r="BJT8" s="189"/>
      <c r="BJU8" s="189"/>
      <c r="BJV8" s="189"/>
      <c r="BJW8" s="189"/>
      <c r="BJX8" s="189"/>
      <c r="BJY8" s="189"/>
      <c r="BJZ8" s="189"/>
      <c r="BKA8" s="189"/>
      <c r="BKB8" s="189"/>
      <c r="BKC8" s="189"/>
      <c r="BKD8" s="189"/>
      <c r="BKE8" s="189"/>
      <c r="BKF8" s="189"/>
      <c r="BKG8" s="189"/>
      <c r="BKH8" s="189"/>
      <c r="BKI8" s="189"/>
      <c r="BKJ8" s="189"/>
      <c r="BKK8" s="189"/>
      <c r="BKL8" s="189"/>
      <c r="BKM8" s="189"/>
      <c r="BKN8" s="189"/>
      <c r="BKO8" s="189"/>
      <c r="BKP8" s="189"/>
      <c r="BKQ8" s="189"/>
      <c r="BKR8" s="189"/>
      <c r="BKS8" s="189"/>
      <c r="BKT8" s="189"/>
      <c r="BKU8" s="189"/>
      <c r="BKV8" s="189"/>
      <c r="BKW8" s="189"/>
      <c r="BKX8" s="189"/>
      <c r="BKY8" s="189"/>
      <c r="BKZ8" s="189"/>
      <c r="BLA8" s="189"/>
      <c r="BLB8" s="189"/>
      <c r="BLC8" s="189"/>
      <c r="BLD8" s="189"/>
      <c r="BLE8" s="189"/>
      <c r="BLF8" s="189"/>
      <c r="BLG8" s="189"/>
      <c r="BLH8" s="189"/>
      <c r="BLI8" s="189"/>
      <c r="BLJ8" s="189"/>
      <c r="BLK8" s="189"/>
      <c r="BLL8" s="189"/>
      <c r="BLM8" s="189"/>
      <c r="BLN8" s="189"/>
      <c r="BLO8" s="189"/>
      <c r="BLP8" s="189"/>
      <c r="BLQ8" s="189"/>
      <c r="BLR8" s="189"/>
      <c r="BLS8" s="189"/>
      <c r="BLT8" s="189"/>
      <c r="BLU8" s="189"/>
      <c r="BLV8" s="189"/>
      <c r="BLW8" s="189"/>
      <c r="BLX8" s="189"/>
      <c r="BLY8" s="189"/>
      <c r="BLZ8" s="189"/>
      <c r="BMA8" s="189"/>
      <c r="BMB8" s="189"/>
      <c r="BMC8" s="189"/>
      <c r="BMD8" s="189"/>
      <c r="BME8" s="189"/>
      <c r="BMF8" s="189"/>
      <c r="BMG8" s="189"/>
      <c r="BMH8" s="189"/>
      <c r="BMI8" s="189"/>
      <c r="BMJ8" s="189"/>
      <c r="BMK8" s="189"/>
      <c r="BML8" s="189"/>
      <c r="BMM8" s="189"/>
      <c r="BMN8" s="189"/>
      <c r="BMO8" s="189"/>
      <c r="BMP8" s="189"/>
      <c r="BMQ8" s="189"/>
      <c r="BMR8" s="189"/>
      <c r="BMS8" s="189"/>
      <c r="BMT8" s="189"/>
      <c r="BMU8" s="189"/>
      <c r="BMV8" s="189"/>
      <c r="BMW8" s="189"/>
      <c r="BMX8" s="189"/>
      <c r="BMY8" s="189"/>
      <c r="BMZ8" s="189"/>
      <c r="BNA8" s="189"/>
      <c r="BNB8" s="189"/>
      <c r="BNC8" s="189"/>
      <c r="BND8" s="189"/>
      <c r="BNE8" s="189"/>
      <c r="BNF8" s="189"/>
      <c r="BNG8" s="189"/>
      <c r="BNH8" s="189"/>
      <c r="BNI8" s="189"/>
      <c r="BNJ8" s="189"/>
      <c r="BNK8" s="189"/>
      <c r="BNL8" s="189"/>
      <c r="BNM8" s="189"/>
      <c r="BNN8" s="189"/>
      <c r="BNO8" s="189"/>
      <c r="BNP8" s="189"/>
      <c r="BNQ8" s="189"/>
      <c r="BNR8" s="189"/>
      <c r="BNS8" s="189"/>
      <c r="BNT8" s="189"/>
      <c r="BNU8" s="189"/>
      <c r="BNV8" s="189"/>
      <c r="BNW8" s="189"/>
      <c r="BNX8" s="189"/>
      <c r="BNY8" s="189"/>
      <c r="BNZ8" s="189"/>
      <c r="BOA8" s="189"/>
      <c r="BOB8" s="189"/>
      <c r="BOC8" s="189"/>
      <c r="BOD8" s="189"/>
      <c r="BOE8" s="189"/>
      <c r="BOF8" s="189"/>
      <c r="BOG8" s="189"/>
      <c r="BOH8" s="189"/>
      <c r="BOI8" s="189"/>
      <c r="BOJ8" s="189"/>
      <c r="BOK8" s="189"/>
      <c r="BOL8" s="189"/>
      <c r="BOM8" s="189"/>
      <c r="BON8" s="189"/>
      <c r="BOO8" s="189"/>
      <c r="BOP8" s="189"/>
      <c r="BOQ8" s="189"/>
      <c r="BOR8" s="189"/>
      <c r="BOS8" s="189"/>
      <c r="BOT8" s="189"/>
      <c r="BOU8" s="189"/>
      <c r="BOV8" s="189"/>
      <c r="BOW8" s="189"/>
      <c r="BOX8" s="189"/>
      <c r="BOY8" s="189"/>
      <c r="BOZ8" s="189"/>
      <c r="BPA8" s="189"/>
      <c r="BPB8" s="189"/>
      <c r="BPC8" s="189"/>
      <c r="BPD8" s="189"/>
      <c r="BPE8" s="189"/>
      <c r="BPF8" s="189"/>
      <c r="BPG8" s="189"/>
      <c r="BPH8" s="189"/>
      <c r="BPI8" s="189"/>
      <c r="BPJ8" s="189"/>
      <c r="BPK8" s="189"/>
      <c r="BPL8" s="189"/>
      <c r="BPM8" s="189"/>
      <c r="BPN8" s="189"/>
      <c r="BPO8" s="189"/>
      <c r="BPP8" s="189"/>
      <c r="BPQ8" s="189"/>
      <c r="BPR8" s="189"/>
      <c r="BPS8" s="189"/>
      <c r="BPT8" s="189"/>
      <c r="BPU8" s="189"/>
      <c r="BPV8" s="189"/>
      <c r="BPW8" s="189"/>
      <c r="BPX8" s="189"/>
      <c r="BPY8" s="189"/>
      <c r="BPZ8" s="189"/>
      <c r="BQA8" s="189"/>
      <c r="BQB8" s="189"/>
      <c r="BQC8" s="189"/>
      <c r="BQD8" s="189"/>
      <c r="BQE8" s="189"/>
      <c r="BQF8" s="189"/>
      <c r="BQG8" s="189"/>
      <c r="BQH8" s="189"/>
      <c r="BQI8" s="189"/>
      <c r="BQJ8" s="189"/>
      <c r="BQK8" s="189"/>
      <c r="BQL8" s="189"/>
      <c r="BQM8" s="189"/>
      <c r="BQN8" s="189"/>
      <c r="BQO8" s="189"/>
      <c r="BQP8" s="189"/>
      <c r="BQQ8" s="189"/>
      <c r="BQR8" s="189"/>
      <c r="BQS8" s="189"/>
      <c r="BQT8" s="189"/>
      <c r="BQU8" s="189"/>
      <c r="BQV8" s="189"/>
      <c r="BQW8" s="189"/>
      <c r="BQX8" s="189"/>
      <c r="BQY8" s="189"/>
      <c r="BQZ8" s="189"/>
      <c r="BRA8" s="189"/>
      <c r="BRB8" s="189"/>
      <c r="BRC8" s="189"/>
      <c r="BRD8" s="189"/>
      <c r="BRE8" s="189"/>
      <c r="BRF8" s="189"/>
      <c r="BRG8" s="189"/>
      <c r="BRH8" s="189"/>
      <c r="BRI8" s="189"/>
      <c r="BRJ8" s="189"/>
      <c r="BRK8" s="189"/>
      <c r="BRL8" s="189"/>
      <c r="BRM8" s="189"/>
      <c r="BRN8" s="189"/>
      <c r="BRO8" s="189"/>
      <c r="BRP8" s="189"/>
      <c r="BRQ8" s="189"/>
      <c r="BRR8" s="189"/>
      <c r="BRS8" s="189"/>
      <c r="BRT8" s="189"/>
      <c r="BRU8" s="189"/>
      <c r="BRV8" s="189"/>
      <c r="BRW8" s="189"/>
      <c r="BRX8" s="189"/>
      <c r="BRY8" s="189"/>
      <c r="BRZ8" s="189"/>
      <c r="BSA8" s="189"/>
      <c r="BSB8" s="189"/>
      <c r="BSC8" s="189"/>
      <c r="BSD8" s="189"/>
      <c r="BSE8" s="189"/>
      <c r="BSF8" s="189"/>
      <c r="BSG8" s="189"/>
      <c r="BSH8" s="189"/>
      <c r="BSI8" s="189"/>
      <c r="BSJ8" s="189"/>
      <c r="BSK8" s="189"/>
      <c r="BSL8" s="189"/>
      <c r="BSM8" s="189"/>
      <c r="BSN8" s="189"/>
      <c r="BSO8" s="189"/>
      <c r="BSP8" s="189"/>
      <c r="BSQ8" s="189"/>
      <c r="BSR8" s="189"/>
      <c r="BSS8" s="189"/>
      <c r="BST8" s="189"/>
      <c r="BSU8" s="189"/>
      <c r="BSV8" s="189"/>
      <c r="BSW8" s="189"/>
      <c r="BSX8" s="189"/>
      <c r="BSY8" s="189"/>
      <c r="BSZ8" s="189"/>
      <c r="BTA8" s="189"/>
      <c r="BTB8" s="189"/>
      <c r="BTC8" s="189"/>
      <c r="BTD8" s="189"/>
      <c r="BTE8" s="189"/>
      <c r="BTF8" s="189"/>
      <c r="BTG8" s="189"/>
      <c r="BTH8" s="189"/>
      <c r="BTI8" s="189"/>
      <c r="BTJ8" s="189"/>
      <c r="BTK8" s="189"/>
      <c r="BTL8" s="189"/>
      <c r="BTM8" s="189"/>
      <c r="BTN8" s="189"/>
      <c r="BTO8" s="189"/>
      <c r="BTP8" s="189"/>
      <c r="BTQ8" s="189"/>
      <c r="BTR8" s="189"/>
      <c r="BTS8" s="189"/>
      <c r="BTT8" s="189"/>
      <c r="BTU8" s="189"/>
      <c r="BTV8" s="189"/>
      <c r="BTW8" s="189"/>
      <c r="BTX8" s="189"/>
      <c r="BTY8" s="189"/>
      <c r="BTZ8" s="189"/>
      <c r="BUA8" s="189"/>
      <c r="BUB8" s="189"/>
      <c r="BUC8" s="189"/>
      <c r="BUD8" s="189"/>
      <c r="BUE8" s="189"/>
      <c r="BUF8" s="189"/>
      <c r="BUG8" s="189"/>
      <c r="BUH8" s="189"/>
      <c r="BUI8" s="189"/>
      <c r="BUJ8" s="189"/>
      <c r="BUK8" s="189"/>
      <c r="BUL8" s="189"/>
      <c r="BUM8" s="189"/>
      <c r="BUN8" s="189"/>
      <c r="BUO8" s="189"/>
      <c r="BUP8" s="189"/>
      <c r="BUQ8" s="189"/>
      <c r="BUR8" s="189"/>
      <c r="BUS8" s="189"/>
      <c r="BUT8" s="189"/>
      <c r="BUU8" s="189"/>
      <c r="BUV8" s="189"/>
      <c r="BUW8" s="189"/>
      <c r="BUX8" s="189"/>
      <c r="BUY8" s="189"/>
      <c r="BUZ8" s="189"/>
      <c r="BVA8" s="189"/>
      <c r="BVB8" s="189"/>
      <c r="BVC8" s="189"/>
      <c r="BVD8" s="189"/>
      <c r="BVE8" s="189"/>
      <c r="BVF8" s="189"/>
      <c r="BVG8" s="189"/>
      <c r="BVH8" s="189"/>
      <c r="BVI8" s="189"/>
      <c r="BVJ8" s="189"/>
      <c r="BVK8" s="189"/>
      <c r="BVL8" s="189"/>
      <c r="BVM8" s="189"/>
      <c r="BVN8" s="189"/>
      <c r="BVO8" s="189"/>
      <c r="BVP8" s="189"/>
      <c r="BVQ8" s="189"/>
      <c r="BVR8" s="189"/>
      <c r="BVS8" s="189"/>
      <c r="BVT8" s="189"/>
      <c r="BVU8" s="189"/>
      <c r="BVV8" s="189"/>
      <c r="BVW8" s="189"/>
      <c r="BVX8" s="189"/>
      <c r="BVY8" s="189"/>
      <c r="BVZ8" s="189"/>
      <c r="BWA8" s="189"/>
      <c r="BWB8" s="189"/>
      <c r="BWC8" s="189"/>
      <c r="BWD8" s="189"/>
      <c r="BWE8" s="189"/>
      <c r="BWF8" s="189"/>
      <c r="BWG8" s="189"/>
      <c r="BWH8" s="189"/>
      <c r="BWI8" s="189"/>
      <c r="BWJ8" s="189"/>
      <c r="BWK8" s="189"/>
      <c r="BWL8" s="189"/>
      <c r="BWM8" s="189"/>
      <c r="BWN8" s="189"/>
      <c r="BWO8" s="189"/>
      <c r="BWP8" s="189"/>
      <c r="BWQ8" s="189"/>
      <c r="BWR8" s="189"/>
      <c r="BWS8" s="189"/>
      <c r="BWT8" s="189"/>
      <c r="BWU8" s="189"/>
      <c r="BWV8" s="189"/>
      <c r="BWW8" s="189"/>
      <c r="BWX8" s="189"/>
      <c r="BWY8" s="189"/>
      <c r="BWZ8" s="189"/>
      <c r="BXA8" s="189"/>
      <c r="BXB8" s="189"/>
      <c r="BXC8" s="189"/>
      <c r="BXD8" s="189"/>
      <c r="BXE8" s="189"/>
      <c r="BXF8" s="189"/>
      <c r="BXG8" s="189"/>
      <c r="BXH8" s="189"/>
      <c r="BXI8" s="189"/>
      <c r="BXJ8" s="189"/>
      <c r="BXK8" s="189"/>
      <c r="BXL8" s="189"/>
      <c r="BXM8" s="189"/>
      <c r="BXN8" s="189"/>
      <c r="BXO8" s="189"/>
      <c r="BXP8" s="189"/>
      <c r="BXQ8" s="189"/>
      <c r="BXR8" s="189"/>
      <c r="BXS8" s="189"/>
      <c r="BXT8" s="189"/>
      <c r="BXU8" s="189"/>
      <c r="BXV8" s="189"/>
      <c r="BXW8" s="189"/>
      <c r="BXX8" s="189"/>
      <c r="BXY8" s="189"/>
      <c r="BXZ8" s="189"/>
      <c r="BYA8" s="189"/>
      <c r="BYB8" s="189"/>
      <c r="BYC8" s="189"/>
      <c r="BYD8" s="189"/>
      <c r="BYE8" s="189"/>
      <c r="BYF8" s="189"/>
      <c r="BYG8" s="189"/>
      <c r="BYH8" s="189"/>
      <c r="BYI8" s="189"/>
      <c r="BYJ8" s="189"/>
      <c r="BYK8" s="189"/>
      <c r="BYL8" s="189"/>
      <c r="BYM8" s="189"/>
      <c r="BYN8" s="189"/>
      <c r="BYO8" s="189"/>
      <c r="BYP8" s="189"/>
      <c r="BYQ8" s="189"/>
      <c r="BYR8" s="189"/>
      <c r="BYS8" s="189"/>
      <c r="BYT8" s="189"/>
      <c r="BYU8" s="189"/>
      <c r="BYV8" s="189"/>
      <c r="BYW8" s="189"/>
      <c r="BYX8" s="189"/>
      <c r="BYY8" s="189"/>
      <c r="BYZ8" s="189"/>
      <c r="BZA8" s="189"/>
      <c r="BZB8" s="189"/>
      <c r="BZC8" s="189"/>
      <c r="BZD8" s="189"/>
      <c r="BZE8" s="189"/>
      <c r="BZF8" s="189"/>
      <c r="BZG8" s="189"/>
      <c r="BZH8" s="189"/>
      <c r="BZI8" s="189"/>
      <c r="BZJ8" s="189"/>
      <c r="BZK8" s="189"/>
      <c r="BZL8" s="189"/>
      <c r="BZM8" s="189"/>
      <c r="BZN8" s="189"/>
      <c r="BZO8" s="189"/>
      <c r="BZP8" s="189"/>
      <c r="BZQ8" s="189"/>
      <c r="BZR8" s="189"/>
      <c r="BZS8" s="189"/>
      <c r="BZT8" s="189"/>
      <c r="BZU8" s="189"/>
      <c r="BZV8" s="189"/>
      <c r="BZW8" s="189"/>
      <c r="BZX8" s="189"/>
      <c r="BZY8" s="189"/>
      <c r="BZZ8" s="189"/>
      <c r="CAA8" s="189"/>
      <c r="CAB8" s="189"/>
      <c r="CAC8" s="189"/>
      <c r="CAD8" s="189"/>
      <c r="CAE8" s="189"/>
      <c r="CAF8" s="189"/>
      <c r="CAG8" s="189"/>
      <c r="CAH8" s="189"/>
      <c r="CAI8" s="189"/>
      <c r="CAJ8" s="189"/>
      <c r="CAK8" s="189"/>
      <c r="CAL8" s="189"/>
      <c r="CAM8" s="189"/>
      <c r="CAN8" s="189"/>
      <c r="CAO8" s="189"/>
      <c r="CAP8" s="189"/>
      <c r="CAQ8" s="189"/>
      <c r="CAR8" s="189"/>
      <c r="CAS8" s="189"/>
      <c r="CAT8" s="189"/>
      <c r="CAU8" s="189"/>
      <c r="CAV8" s="189"/>
      <c r="CAW8" s="189"/>
      <c r="CAX8" s="189"/>
      <c r="CAY8" s="189"/>
      <c r="CAZ8" s="189"/>
      <c r="CBA8" s="189"/>
      <c r="CBB8" s="189"/>
      <c r="CBC8" s="189"/>
      <c r="CBD8" s="189"/>
      <c r="CBE8" s="189"/>
      <c r="CBF8" s="189"/>
      <c r="CBG8" s="189"/>
      <c r="CBH8" s="189"/>
      <c r="CBI8" s="189"/>
      <c r="CBJ8" s="189"/>
      <c r="CBK8" s="189"/>
      <c r="CBL8" s="189"/>
      <c r="CBM8" s="189"/>
      <c r="CBN8" s="189"/>
      <c r="CBO8" s="189"/>
      <c r="CBP8" s="189"/>
      <c r="CBQ8" s="189"/>
      <c r="CBR8" s="189"/>
      <c r="CBS8" s="189"/>
      <c r="CBT8" s="189"/>
      <c r="CBU8" s="189"/>
      <c r="CBV8" s="189"/>
      <c r="CBW8" s="189"/>
      <c r="CBX8" s="189"/>
      <c r="CBY8" s="189"/>
      <c r="CBZ8" s="189"/>
      <c r="CCA8" s="189"/>
      <c r="CCB8" s="189"/>
      <c r="CCC8" s="189"/>
      <c r="CCD8" s="189"/>
      <c r="CCE8" s="189"/>
      <c r="CCF8" s="189"/>
      <c r="CCG8" s="189"/>
      <c r="CCH8" s="189"/>
      <c r="CCI8" s="189"/>
      <c r="CCJ8" s="189"/>
      <c r="CCK8" s="189"/>
      <c r="CCL8" s="189"/>
      <c r="CCM8" s="189"/>
      <c r="CCN8" s="189"/>
      <c r="CCO8" s="189"/>
      <c r="CCP8" s="189"/>
      <c r="CCQ8" s="189"/>
      <c r="CCR8" s="189"/>
      <c r="CCS8" s="189"/>
      <c r="CCT8" s="189"/>
      <c r="CCU8" s="189"/>
      <c r="CCV8" s="189"/>
    </row>
    <row r="9" spans="1:2129 15008:15068 15384:15392" s="77" customFormat="1" ht="23.25" customHeight="1" x14ac:dyDescent="0.2">
      <c r="A9" s="77" t="s">
        <v>28</v>
      </c>
      <c r="B9" s="77" t="s">
        <v>87</v>
      </c>
      <c r="C9" s="77" t="s">
        <v>86</v>
      </c>
      <c r="D9" s="77" t="s">
        <v>85</v>
      </c>
      <c r="E9" s="77" t="s">
        <v>84</v>
      </c>
      <c r="F9" s="77" t="s">
        <v>83</v>
      </c>
      <c r="G9" s="86" t="s">
        <v>55</v>
      </c>
      <c r="H9" s="85" t="s">
        <v>82</v>
      </c>
      <c r="I9" s="84" t="s">
        <v>81</v>
      </c>
      <c r="J9" s="197" t="s">
        <v>80</v>
      </c>
      <c r="K9" s="84" t="s">
        <v>79</v>
      </c>
      <c r="L9" s="82" t="s">
        <v>78</v>
      </c>
      <c r="M9" s="81" t="s">
        <v>77</v>
      </c>
      <c r="N9" s="83" t="s">
        <v>76</v>
      </c>
      <c r="O9" s="82" t="s">
        <v>75</v>
      </c>
      <c r="P9" s="81" t="s">
        <v>74</v>
      </c>
      <c r="Q9" s="80" t="s">
        <v>176</v>
      </c>
      <c r="R9" s="83" t="s">
        <v>73</v>
      </c>
      <c r="S9" s="82" t="s">
        <v>72</v>
      </c>
      <c r="T9" s="81" t="s">
        <v>71</v>
      </c>
      <c r="U9" s="197" t="s">
        <v>70</v>
      </c>
      <c r="V9" s="197" t="s">
        <v>69</v>
      </c>
      <c r="W9" s="197" t="s">
        <v>12</v>
      </c>
      <c r="X9" s="80" t="s">
        <v>38</v>
      </c>
      <c r="Y9" s="80" t="s">
        <v>68</v>
      </c>
      <c r="Z9" s="80" t="s">
        <v>67</v>
      </c>
      <c r="AA9" s="145" t="s">
        <v>181</v>
      </c>
      <c r="AB9" s="145" t="s">
        <v>182</v>
      </c>
      <c r="AC9" s="203" t="s">
        <v>66</v>
      </c>
      <c r="AD9" s="203" t="s">
        <v>62</v>
      </c>
      <c r="AE9" s="203" t="s">
        <v>65</v>
      </c>
      <c r="AF9" s="203" t="s">
        <v>62</v>
      </c>
      <c r="AG9" s="203" t="s">
        <v>64</v>
      </c>
      <c r="AH9" s="204" t="s">
        <v>63</v>
      </c>
      <c r="AI9" s="204" t="s">
        <v>63</v>
      </c>
      <c r="AJ9" s="203" t="s">
        <v>66</v>
      </c>
      <c r="AK9" s="203" t="s">
        <v>62</v>
      </c>
      <c r="AL9" s="203" t="s">
        <v>65</v>
      </c>
      <c r="AM9" s="203" t="s">
        <v>62</v>
      </c>
      <c r="AN9" s="203" t="s">
        <v>64</v>
      </c>
      <c r="AO9" s="204" t="s">
        <v>63</v>
      </c>
      <c r="AP9" s="204" t="s">
        <v>63</v>
      </c>
      <c r="AQ9" s="203" t="s">
        <v>66</v>
      </c>
      <c r="AR9" s="203" t="s">
        <v>62</v>
      </c>
      <c r="AS9" s="203" t="s">
        <v>65</v>
      </c>
      <c r="AT9" s="203" t="s">
        <v>62</v>
      </c>
      <c r="AU9" s="203" t="s">
        <v>64</v>
      </c>
      <c r="AV9" s="204" t="s">
        <v>63</v>
      </c>
      <c r="AW9" s="204" t="s">
        <v>63</v>
      </c>
      <c r="AX9" s="203" t="s">
        <v>66</v>
      </c>
      <c r="AY9" s="203" t="s">
        <v>62</v>
      </c>
      <c r="AZ9" s="203" t="s">
        <v>65</v>
      </c>
      <c r="BA9" s="203" t="s">
        <v>62</v>
      </c>
      <c r="BB9" s="203" t="s">
        <v>64</v>
      </c>
      <c r="BC9" s="204" t="s">
        <v>63</v>
      </c>
      <c r="BD9" s="204" t="s">
        <v>63</v>
      </c>
      <c r="BE9" s="203" t="s">
        <v>66</v>
      </c>
      <c r="BF9" s="203" t="s">
        <v>62</v>
      </c>
      <c r="BG9" s="203" t="s">
        <v>65</v>
      </c>
      <c r="BH9" s="203" t="s">
        <v>62</v>
      </c>
      <c r="BI9" s="203" t="s">
        <v>64</v>
      </c>
      <c r="BJ9" s="204" t="s">
        <v>63</v>
      </c>
      <c r="BK9" s="204" t="s">
        <v>63</v>
      </c>
      <c r="BL9" s="203" t="s">
        <v>66</v>
      </c>
      <c r="BM9" s="203" t="s">
        <v>62</v>
      </c>
      <c r="BN9" s="203" t="s">
        <v>65</v>
      </c>
      <c r="BO9" s="203" t="s">
        <v>62</v>
      </c>
      <c r="BP9" s="203" t="s">
        <v>64</v>
      </c>
      <c r="BQ9" s="204" t="s">
        <v>63</v>
      </c>
      <c r="BR9" s="204" t="s">
        <v>63</v>
      </c>
      <c r="BS9" s="203" t="s">
        <v>66</v>
      </c>
      <c r="BT9" s="203" t="s">
        <v>62</v>
      </c>
      <c r="BU9" s="203" t="s">
        <v>65</v>
      </c>
      <c r="BV9" s="203" t="s">
        <v>62</v>
      </c>
      <c r="BW9" s="203" t="s">
        <v>64</v>
      </c>
      <c r="BX9" s="204" t="s">
        <v>63</v>
      </c>
      <c r="BY9" s="204" t="s">
        <v>63</v>
      </c>
      <c r="BZ9" s="203" t="s">
        <v>66</v>
      </c>
      <c r="CA9" s="203" t="s">
        <v>62</v>
      </c>
      <c r="CB9" s="203" t="s">
        <v>65</v>
      </c>
      <c r="CC9" s="203" t="s">
        <v>62</v>
      </c>
      <c r="CD9" s="203" t="s">
        <v>64</v>
      </c>
      <c r="CE9" s="204" t="s">
        <v>63</v>
      </c>
      <c r="CF9" s="204" t="s">
        <v>63</v>
      </c>
      <c r="CG9" s="203"/>
      <c r="CH9" s="203"/>
      <c r="CI9" s="203"/>
      <c r="CJ9" s="203"/>
      <c r="CK9" s="203"/>
      <c r="CL9" s="204"/>
      <c r="CM9" s="204"/>
      <c r="CN9" s="203"/>
      <c r="CO9" s="203"/>
      <c r="CP9" s="203"/>
      <c r="CQ9" s="203"/>
      <c r="CR9" s="203"/>
      <c r="CS9" s="204"/>
      <c r="CT9" s="204"/>
      <c r="CU9" s="203"/>
      <c r="CV9" s="203"/>
      <c r="CW9" s="203"/>
      <c r="CX9" s="203"/>
      <c r="CY9" s="203"/>
      <c r="CZ9" s="204"/>
      <c r="DA9" s="204"/>
      <c r="DB9" s="203"/>
      <c r="DC9" s="203"/>
      <c r="DD9" s="203"/>
      <c r="DE9" s="203"/>
      <c r="DF9" s="203"/>
      <c r="DG9" s="204"/>
      <c r="DH9" s="204"/>
      <c r="DI9" s="203"/>
      <c r="DJ9" s="203"/>
      <c r="DK9" s="203"/>
      <c r="DL9" s="203"/>
      <c r="DM9" s="203"/>
      <c r="DN9" s="204"/>
      <c r="DO9" s="204"/>
      <c r="DP9" s="203"/>
      <c r="DQ9" s="203"/>
      <c r="DR9" s="203"/>
      <c r="DS9" s="203"/>
      <c r="DT9" s="203"/>
      <c r="DU9" s="204"/>
      <c r="DV9" s="204"/>
      <c r="DW9" s="203"/>
      <c r="DX9" s="203"/>
      <c r="DY9" s="203"/>
      <c r="DZ9" s="203"/>
      <c r="EA9" s="203"/>
      <c r="EB9" s="204"/>
      <c r="EC9" s="204"/>
      <c r="ED9" s="203"/>
      <c r="EE9" s="203"/>
      <c r="EF9" s="203"/>
      <c r="EG9" s="203"/>
      <c r="EH9" s="203"/>
      <c r="EI9" s="204"/>
      <c r="EJ9" s="204"/>
      <c r="EK9" s="203"/>
      <c r="EL9" s="203"/>
      <c r="EM9" s="203"/>
      <c r="EN9" s="203"/>
      <c r="EO9" s="203"/>
      <c r="EP9" s="204"/>
      <c r="EQ9" s="204"/>
      <c r="ER9" s="203"/>
      <c r="ES9" s="203"/>
      <c r="ET9" s="203"/>
      <c r="EU9" s="203"/>
      <c r="EV9" s="203"/>
      <c r="EW9" s="204"/>
      <c r="EX9" s="204"/>
      <c r="EY9" s="203"/>
      <c r="EZ9" s="203"/>
      <c r="FA9" s="203"/>
      <c r="FB9" s="203"/>
      <c r="FC9" s="203"/>
      <c r="FD9" s="204"/>
      <c r="FE9" s="204"/>
      <c r="FF9" s="203"/>
      <c r="FG9" s="203"/>
      <c r="FH9" s="203"/>
      <c r="FI9" s="203"/>
      <c r="FJ9" s="203"/>
      <c r="FK9" s="204"/>
      <c r="FL9" s="204"/>
      <c r="FM9" s="203"/>
      <c r="FN9" s="203"/>
      <c r="FO9" s="203"/>
      <c r="FP9" s="203"/>
      <c r="FQ9" s="203"/>
      <c r="FR9" s="204"/>
      <c r="FS9" s="204"/>
      <c r="FT9" s="203"/>
      <c r="FU9" s="203"/>
      <c r="FV9" s="203"/>
      <c r="FW9" s="203"/>
      <c r="FX9" s="203"/>
      <c r="FY9" s="204"/>
      <c r="FZ9" s="204"/>
      <c r="GA9" s="203"/>
      <c r="GB9" s="203"/>
      <c r="GC9" s="203"/>
      <c r="GD9" s="203"/>
      <c r="GE9" s="203"/>
      <c r="GF9" s="204"/>
      <c r="GG9" s="204"/>
      <c r="GH9" s="203"/>
      <c r="GI9" s="203"/>
      <c r="GJ9" s="203"/>
      <c r="GK9" s="203"/>
      <c r="GL9" s="203"/>
      <c r="GM9" s="204"/>
      <c r="GN9" s="204"/>
      <c r="GO9" s="203"/>
      <c r="GP9" s="203"/>
      <c r="GQ9" s="203"/>
      <c r="GR9" s="203"/>
      <c r="GS9" s="203"/>
      <c r="GT9" s="204"/>
      <c r="GU9" s="204"/>
      <c r="GV9" s="203"/>
      <c r="GW9" s="203"/>
      <c r="GX9" s="203"/>
      <c r="GY9" s="203"/>
      <c r="GZ9" s="203"/>
      <c r="HA9" s="204"/>
      <c r="HB9" s="204"/>
      <c r="HC9" s="203"/>
      <c r="HD9" s="203"/>
      <c r="HE9" s="203"/>
      <c r="HF9" s="203"/>
      <c r="HG9" s="203"/>
      <c r="HH9" s="204"/>
      <c r="HI9" s="204"/>
      <c r="HJ9" s="203"/>
      <c r="HK9" s="203"/>
      <c r="HL9" s="203"/>
      <c r="HM9" s="203"/>
      <c r="HN9" s="203"/>
      <c r="HO9" s="204"/>
      <c r="HP9" s="204"/>
      <c r="HQ9" s="203"/>
      <c r="HR9" s="203"/>
      <c r="HS9" s="203"/>
      <c r="HT9" s="203"/>
      <c r="HU9" s="203"/>
      <c r="HV9" s="204"/>
      <c r="HW9" s="204"/>
      <c r="HX9" s="203"/>
      <c r="HY9" s="203"/>
      <c r="HZ9" s="203"/>
      <c r="IA9" s="203"/>
      <c r="IB9" s="203"/>
      <c r="IC9" s="204"/>
      <c r="ID9" s="204"/>
      <c r="IE9" s="203"/>
      <c r="IF9" s="203"/>
      <c r="IG9" s="203"/>
      <c r="IH9" s="203"/>
      <c r="II9" s="203"/>
      <c r="IJ9" s="204"/>
      <c r="IK9" s="204"/>
      <c r="IL9" s="203"/>
      <c r="IM9" s="203"/>
      <c r="IN9" s="203"/>
      <c r="IO9" s="203"/>
      <c r="IP9" s="203"/>
      <c r="IQ9" s="204"/>
      <c r="IR9" s="204"/>
      <c r="IS9" s="203"/>
      <c r="IT9" s="203"/>
      <c r="IU9" s="203"/>
      <c r="IV9" s="203"/>
      <c r="IW9" s="203"/>
      <c r="IX9" s="204"/>
      <c r="IY9" s="204"/>
      <c r="IZ9" s="203"/>
      <c r="JA9" s="203"/>
      <c r="JB9" s="203"/>
      <c r="JC9" s="203"/>
      <c r="JD9" s="203"/>
      <c r="JE9" s="204"/>
      <c r="JF9" s="204"/>
      <c r="JG9" s="203"/>
      <c r="JH9" s="203"/>
      <c r="JI9" s="203"/>
      <c r="JJ9" s="203"/>
      <c r="JK9" s="203"/>
      <c r="JL9" s="204"/>
      <c r="JM9" s="204"/>
      <c r="JN9" s="203"/>
      <c r="JO9" s="203"/>
      <c r="JP9" s="203"/>
      <c r="JQ9" s="203"/>
      <c r="JR9" s="203"/>
      <c r="JS9" s="204"/>
      <c r="JT9" s="204"/>
      <c r="JU9" s="203"/>
      <c r="JV9" s="203"/>
      <c r="JW9" s="203"/>
      <c r="JX9" s="203"/>
      <c r="JY9" s="203"/>
      <c r="JZ9" s="204"/>
      <c r="KA9" s="204"/>
      <c r="KB9" s="203"/>
      <c r="KC9" s="203"/>
      <c r="KD9" s="203"/>
      <c r="KE9" s="203"/>
      <c r="KF9" s="203"/>
      <c r="KG9" s="204"/>
      <c r="KH9" s="204"/>
      <c r="KI9" s="203"/>
      <c r="KJ9" s="203"/>
      <c r="KK9" s="203"/>
      <c r="KL9" s="203"/>
      <c r="KM9" s="203"/>
      <c r="KN9" s="204"/>
      <c r="KO9" s="204"/>
      <c r="KP9" s="203"/>
      <c r="KQ9" s="203"/>
      <c r="KR9" s="203"/>
      <c r="KS9" s="203"/>
      <c r="KT9" s="203"/>
      <c r="KU9" s="204"/>
      <c r="KV9" s="204"/>
      <c r="KW9" s="203"/>
      <c r="KX9" s="203"/>
      <c r="KY9" s="203"/>
      <c r="KZ9" s="203"/>
      <c r="LA9" s="203"/>
      <c r="LB9" s="204"/>
      <c r="LC9" s="204"/>
      <c r="LD9" s="203"/>
      <c r="LE9" s="203"/>
      <c r="LF9" s="203"/>
      <c r="LG9" s="203"/>
      <c r="LH9" s="203"/>
      <c r="LI9" s="204"/>
      <c r="LJ9" s="204"/>
      <c r="LK9" s="203"/>
      <c r="LL9" s="203"/>
      <c r="LM9" s="203"/>
      <c r="LN9" s="203"/>
      <c r="LO9" s="203"/>
      <c r="LP9" s="204"/>
      <c r="LQ9" s="204"/>
      <c r="LR9" s="203"/>
      <c r="LS9" s="203"/>
      <c r="LT9" s="203"/>
      <c r="LU9" s="203"/>
      <c r="LV9" s="203"/>
      <c r="LW9" s="204"/>
      <c r="LX9" s="204"/>
      <c r="LY9" s="203"/>
      <c r="LZ9" s="203"/>
      <c r="MA9" s="203"/>
      <c r="MB9" s="203"/>
      <c r="MC9" s="203"/>
      <c r="MD9" s="204"/>
      <c r="ME9" s="204"/>
      <c r="MF9" s="203"/>
      <c r="MG9" s="203"/>
      <c r="MH9" s="203"/>
      <c r="MI9" s="203"/>
      <c r="MJ9" s="203"/>
      <c r="MK9" s="204"/>
      <c r="ML9" s="204"/>
      <c r="MM9" s="203"/>
      <c r="MN9" s="203"/>
      <c r="MO9" s="203"/>
      <c r="MP9" s="203"/>
      <c r="MQ9" s="203"/>
      <c r="MR9" s="204"/>
      <c r="MS9" s="204"/>
      <c r="MT9" s="203"/>
      <c r="MU9" s="203"/>
      <c r="MV9" s="203"/>
      <c r="MW9" s="203"/>
      <c r="MX9" s="203"/>
      <c r="MY9" s="204"/>
      <c r="MZ9" s="204"/>
      <c r="NA9" s="203"/>
      <c r="NB9" s="203"/>
      <c r="NC9" s="203"/>
      <c r="ND9" s="203"/>
      <c r="NE9" s="203"/>
      <c r="NF9" s="204"/>
      <c r="NG9" s="204"/>
      <c r="NH9" s="203"/>
      <c r="NI9" s="203"/>
      <c r="NJ9" s="203"/>
      <c r="NK9" s="203"/>
      <c r="NL9" s="203"/>
      <c r="NM9" s="204"/>
      <c r="NN9" s="204"/>
      <c r="NO9" s="203"/>
      <c r="NP9" s="203"/>
      <c r="NQ9" s="203"/>
      <c r="NR9" s="203"/>
      <c r="NS9" s="203"/>
      <c r="NT9" s="204"/>
      <c r="NU9" s="204"/>
      <c r="NV9" s="203"/>
      <c r="NW9" s="203"/>
      <c r="NX9" s="203"/>
      <c r="NY9" s="203"/>
      <c r="NZ9" s="203"/>
      <c r="OA9" s="204"/>
      <c r="OB9" s="204"/>
      <c r="OC9" s="203"/>
      <c r="OD9" s="203"/>
      <c r="OE9" s="203"/>
      <c r="OF9" s="203"/>
      <c r="OG9" s="203"/>
      <c r="OH9" s="204"/>
      <c r="OI9" s="204"/>
      <c r="OJ9" s="203"/>
      <c r="OK9" s="203"/>
      <c r="OL9" s="203"/>
      <c r="OM9" s="203"/>
      <c r="ON9" s="203"/>
      <c r="OO9" s="204"/>
      <c r="OP9" s="204"/>
      <c r="OQ9" s="203"/>
      <c r="OR9" s="203"/>
      <c r="OS9" s="203"/>
      <c r="OT9" s="203"/>
      <c r="OU9" s="203"/>
      <c r="OV9" s="204"/>
      <c r="OW9" s="204"/>
      <c r="OX9" s="203"/>
      <c r="OY9" s="203"/>
      <c r="OZ9" s="203"/>
      <c r="PA9" s="203"/>
      <c r="PB9" s="203"/>
      <c r="PC9" s="204"/>
      <c r="PD9" s="204"/>
      <c r="PE9" s="203"/>
      <c r="PF9" s="203"/>
      <c r="PG9" s="203"/>
      <c r="PH9" s="203"/>
      <c r="PI9" s="203"/>
      <c r="PJ9" s="204"/>
      <c r="PK9" s="204"/>
      <c r="PL9" s="203"/>
      <c r="PM9" s="203"/>
      <c r="PN9" s="203"/>
      <c r="PO9" s="203"/>
      <c r="PP9" s="203"/>
      <c r="PQ9" s="204"/>
      <c r="PR9" s="204"/>
      <c r="PS9" s="203"/>
      <c r="PT9" s="203"/>
      <c r="PU9" s="203"/>
      <c r="PV9" s="203"/>
      <c r="PW9" s="203"/>
      <c r="PX9" s="204"/>
      <c r="PY9" s="204"/>
      <c r="PZ9" s="203"/>
      <c r="QA9" s="203"/>
      <c r="QB9" s="203"/>
      <c r="QC9" s="203"/>
      <c r="QD9" s="203"/>
      <c r="QE9" s="204"/>
      <c r="QF9" s="204"/>
      <c r="QG9" s="203"/>
      <c r="QH9" s="203"/>
      <c r="QI9" s="203"/>
      <c r="QJ9" s="203"/>
      <c r="QK9" s="203"/>
      <c r="QL9" s="204"/>
      <c r="QM9" s="204"/>
      <c r="QN9" s="203"/>
      <c r="QO9" s="203"/>
      <c r="QP9" s="203"/>
      <c r="QQ9" s="203"/>
      <c r="QR9" s="203"/>
      <c r="QS9" s="204"/>
      <c r="QT9" s="204"/>
      <c r="QU9" s="203"/>
      <c r="QV9" s="203"/>
      <c r="QW9" s="203"/>
      <c r="QX9" s="203"/>
      <c r="QY9" s="203"/>
      <c r="QZ9" s="204"/>
      <c r="RA9" s="204"/>
      <c r="RB9" s="203"/>
      <c r="RC9" s="203"/>
      <c r="RD9" s="203"/>
      <c r="RE9" s="203"/>
      <c r="RF9" s="203"/>
      <c r="RG9" s="204"/>
      <c r="RH9" s="204"/>
      <c r="RI9" s="203"/>
      <c r="RJ9" s="203"/>
      <c r="RK9" s="203"/>
      <c r="RL9" s="203"/>
      <c r="RM9" s="203"/>
      <c r="RN9" s="204"/>
      <c r="RO9" s="204"/>
      <c r="RP9" s="203"/>
      <c r="RQ9" s="203"/>
      <c r="RR9" s="203"/>
      <c r="RS9" s="203"/>
      <c r="RT9" s="203"/>
      <c r="RU9" s="204"/>
      <c r="RV9" s="204"/>
      <c r="RW9" s="203"/>
      <c r="RX9" s="203"/>
      <c r="RY9" s="203"/>
      <c r="RZ9" s="203"/>
      <c r="SA9" s="203"/>
      <c r="SB9" s="204"/>
      <c r="SC9" s="204"/>
      <c r="SD9" s="203"/>
      <c r="SE9" s="203"/>
      <c r="SF9" s="203"/>
      <c r="SG9" s="203"/>
      <c r="SH9" s="203"/>
      <c r="SI9" s="204"/>
      <c r="SJ9" s="204"/>
      <c r="SK9" s="203"/>
      <c r="SL9" s="203"/>
      <c r="SM9" s="203"/>
      <c r="SN9" s="203"/>
      <c r="SO9" s="203"/>
      <c r="SP9" s="204"/>
      <c r="SQ9" s="204"/>
      <c r="SR9" s="203"/>
      <c r="SS9" s="203"/>
      <c r="ST9" s="203"/>
      <c r="SU9" s="203"/>
      <c r="SV9" s="203"/>
      <c r="SW9" s="204"/>
      <c r="SX9" s="204"/>
      <c r="SY9" s="203"/>
      <c r="SZ9" s="203"/>
      <c r="TA9" s="203"/>
      <c r="TB9" s="203"/>
      <c r="TC9" s="203"/>
      <c r="TD9" s="204"/>
      <c r="TE9" s="204"/>
      <c r="TF9" s="203"/>
      <c r="TG9" s="203"/>
      <c r="TH9" s="203"/>
      <c r="TI9" s="203"/>
      <c r="TJ9" s="203"/>
      <c r="TK9" s="204"/>
      <c r="TL9" s="204"/>
      <c r="TM9" s="203"/>
      <c r="TN9" s="203"/>
      <c r="TO9" s="203"/>
      <c r="TP9" s="203"/>
      <c r="TQ9" s="203"/>
      <c r="TR9" s="204"/>
      <c r="TS9" s="204"/>
      <c r="TT9" s="203"/>
      <c r="TU9" s="203"/>
      <c r="TV9" s="203"/>
      <c r="TW9" s="203"/>
      <c r="TX9" s="203"/>
      <c r="TY9" s="204"/>
      <c r="TZ9" s="204"/>
      <c r="UA9" s="203"/>
      <c r="UB9" s="203"/>
      <c r="UC9" s="203"/>
      <c r="UD9" s="203"/>
      <c r="UE9" s="203"/>
      <c r="UF9" s="204"/>
      <c r="UG9" s="204"/>
      <c r="UH9" s="203"/>
      <c r="UI9" s="203"/>
      <c r="UJ9" s="203"/>
      <c r="UK9" s="203"/>
      <c r="UL9" s="203"/>
      <c r="UM9" s="204"/>
      <c r="UN9" s="204"/>
      <c r="UO9" s="203"/>
      <c r="UP9" s="203"/>
      <c r="UQ9" s="203"/>
      <c r="UR9" s="203"/>
      <c r="US9" s="203"/>
      <c r="UT9" s="204"/>
      <c r="UU9" s="204"/>
      <c r="UV9" s="203"/>
      <c r="UW9" s="203"/>
      <c r="UX9" s="203"/>
      <c r="UY9" s="203"/>
      <c r="UZ9" s="203"/>
      <c r="VA9" s="204"/>
      <c r="VB9" s="204"/>
      <c r="VC9" s="203"/>
      <c r="VD9" s="203"/>
      <c r="VE9" s="203"/>
      <c r="VF9" s="203"/>
      <c r="VG9" s="203"/>
      <c r="VH9" s="204"/>
      <c r="VI9" s="204"/>
      <c r="VJ9" s="203"/>
      <c r="VK9" s="203"/>
      <c r="VL9" s="203"/>
      <c r="VM9" s="203"/>
      <c r="VN9" s="203"/>
      <c r="VO9" s="204"/>
      <c r="VP9" s="204"/>
      <c r="VQ9" s="203"/>
      <c r="VR9" s="203"/>
      <c r="VS9" s="203"/>
      <c r="VT9" s="203"/>
      <c r="VU9" s="203"/>
      <c r="VV9" s="204"/>
      <c r="VW9" s="204"/>
      <c r="VX9" s="203"/>
      <c r="VY9" s="203"/>
      <c r="VZ9" s="203"/>
      <c r="WA9" s="203"/>
      <c r="WB9" s="203"/>
      <c r="WC9" s="204"/>
      <c r="WD9" s="204"/>
      <c r="WE9" s="203"/>
      <c r="WF9" s="203"/>
      <c r="WG9" s="203"/>
      <c r="WH9" s="203"/>
      <c r="WI9" s="203"/>
      <c r="WJ9" s="204"/>
      <c r="WK9" s="204"/>
      <c r="WL9" s="203"/>
      <c r="WM9" s="203"/>
      <c r="WN9" s="203"/>
      <c r="WO9" s="203"/>
      <c r="WP9" s="203"/>
      <c r="WQ9" s="204"/>
      <c r="WR9" s="204"/>
      <c r="WS9" s="203"/>
      <c r="WT9" s="203"/>
      <c r="WU9" s="203"/>
      <c r="WV9" s="203"/>
      <c r="WW9" s="203"/>
      <c r="WX9" s="204"/>
      <c r="WY9" s="204"/>
      <c r="WZ9" s="203"/>
      <c r="XA9" s="203"/>
      <c r="XB9" s="203"/>
      <c r="XC9" s="203"/>
      <c r="XD9" s="203"/>
      <c r="XE9" s="204"/>
      <c r="XF9" s="204"/>
      <c r="XG9" s="203"/>
      <c r="XH9" s="203"/>
      <c r="XI9" s="203"/>
      <c r="XJ9" s="203"/>
      <c r="XK9" s="203"/>
      <c r="XL9" s="204"/>
      <c r="XM9" s="204"/>
      <c r="XN9" s="203"/>
      <c r="XO9" s="203"/>
      <c r="XP9" s="203"/>
      <c r="XQ9" s="203"/>
      <c r="XR9" s="203"/>
      <c r="XS9" s="204"/>
      <c r="XT9" s="204"/>
      <c r="XU9" s="203"/>
      <c r="XV9" s="203"/>
      <c r="XW9" s="203"/>
      <c r="XX9" s="203"/>
      <c r="XY9" s="203"/>
      <c r="XZ9" s="204"/>
      <c r="YA9" s="204"/>
      <c r="YB9" s="203"/>
      <c r="YC9" s="203"/>
      <c r="YD9" s="203"/>
      <c r="YE9" s="203"/>
      <c r="YF9" s="203"/>
      <c r="YG9" s="204"/>
      <c r="YH9" s="204"/>
      <c r="YI9" s="203"/>
      <c r="YJ9" s="203"/>
      <c r="YK9" s="203"/>
      <c r="YL9" s="203"/>
      <c r="YM9" s="203"/>
      <c r="YN9" s="204"/>
      <c r="YO9" s="204"/>
      <c r="YP9" s="203"/>
      <c r="YQ9" s="203"/>
      <c r="YR9" s="203"/>
      <c r="YS9" s="203"/>
      <c r="YT9" s="203"/>
      <c r="YU9" s="204"/>
      <c r="YV9" s="204"/>
      <c r="YW9" s="203"/>
      <c r="YX9" s="203"/>
      <c r="YY9" s="203"/>
      <c r="YZ9" s="203"/>
      <c r="ZA9" s="203"/>
      <c r="ZB9" s="204"/>
      <c r="ZC9" s="204"/>
      <c r="ZD9" s="203"/>
      <c r="ZE9" s="203"/>
      <c r="ZF9" s="203"/>
      <c r="ZG9" s="203"/>
      <c r="ZH9" s="203"/>
      <c r="ZI9" s="204"/>
      <c r="ZJ9" s="204"/>
      <c r="ZK9" s="203"/>
      <c r="ZL9" s="203"/>
      <c r="ZM9" s="203"/>
      <c r="ZN9" s="203"/>
      <c r="ZO9" s="203"/>
      <c r="ZP9" s="204"/>
      <c r="ZQ9" s="204"/>
      <c r="ZR9" s="203"/>
      <c r="ZS9" s="203"/>
      <c r="ZT9" s="203"/>
      <c r="ZU9" s="203"/>
      <c r="ZV9" s="203"/>
      <c r="ZW9" s="204"/>
      <c r="ZX9" s="204"/>
      <c r="ZY9" s="203"/>
      <c r="ZZ9" s="203"/>
      <c r="AAA9" s="203"/>
      <c r="AAB9" s="203"/>
      <c r="AAC9" s="203"/>
      <c r="AAD9" s="204"/>
      <c r="AAE9" s="204"/>
      <c r="AAF9" s="203"/>
      <c r="AAG9" s="203"/>
      <c r="AAH9" s="203"/>
      <c r="AAI9" s="203"/>
      <c r="AAJ9" s="203"/>
      <c r="AAK9" s="204"/>
      <c r="AAL9" s="204"/>
      <c r="AAM9" s="203"/>
      <c r="AAN9" s="203"/>
      <c r="AAO9" s="203"/>
      <c r="AAP9" s="203"/>
      <c r="AAQ9" s="203"/>
      <c r="AAR9" s="204"/>
      <c r="AAS9" s="204"/>
      <c r="AAT9" s="203"/>
      <c r="AAU9" s="203"/>
      <c r="AAV9" s="203"/>
      <c r="AAW9" s="203"/>
      <c r="AAX9" s="203"/>
      <c r="AAY9" s="204"/>
      <c r="AAZ9" s="204"/>
      <c r="ABA9" s="203"/>
      <c r="ABB9" s="203"/>
      <c r="ABC9" s="203"/>
      <c r="ABD9" s="203"/>
      <c r="ABE9" s="203"/>
      <c r="ABF9" s="204"/>
      <c r="ABG9" s="204"/>
      <c r="ABH9" s="203"/>
      <c r="ABI9" s="203"/>
      <c r="ABJ9" s="203"/>
      <c r="ABK9" s="203"/>
      <c r="ABL9" s="203"/>
      <c r="ABM9" s="204"/>
      <c r="ABN9" s="204"/>
      <c r="ABO9" s="203"/>
      <c r="ABP9" s="203"/>
      <c r="ABQ9" s="203"/>
      <c r="ABR9" s="203"/>
      <c r="ABS9" s="203"/>
      <c r="ABT9" s="204"/>
      <c r="ABU9" s="204"/>
      <c r="ABV9" s="203"/>
      <c r="ABW9" s="203"/>
      <c r="ABX9" s="203"/>
      <c r="ABY9" s="203"/>
      <c r="ABZ9" s="203"/>
      <c r="ACA9" s="204"/>
      <c r="ACB9" s="204"/>
      <c r="ACC9" s="203"/>
      <c r="ACD9" s="203"/>
      <c r="ACE9" s="203"/>
      <c r="ACF9" s="203"/>
      <c r="ACG9" s="203"/>
      <c r="ACH9" s="204"/>
      <c r="ACI9" s="204"/>
      <c r="ACJ9" s="203"/>
      <c r="ACK9" s="203"/>
      <c r="ACL9" s="203"/>
      <c r="ACM9" s="203"/>
      <c r="ACN9" s="203"/>
      <c r="ACO9" s="204"/>
      <c r="ACP9" s="204"/>
      <c r="ACQ9" s="203"/>
      <c r="ACR9" s="203"/>
      <c r="ACS9" s="203"/>
      <c r="ACT9" s="203"/>
      <c r="ACU9" s="203"/>
      <c r="ACV9" s="204"/>
      <c r="ACW9" s="204"/>
      <c r="ACX9" s="203"/>
      <c r="ACY9" s="203"/>
      <c r="ACZ9" s="203"/>
      <c r="ADA9" s="203"/>
      <c r="ADB9" s="203"/>
      <c r="ADC9" s="204"/>
      <c r="ADD9" s="204"/>
      <c r="ADE9" s="203"/>
      <c r="ADF9" s="203"/>
      <c r="ADG9" s="203"/>
      <c r="ADH9" s="203"/>
      <c r="ADI9" s="203"/>
      <c r="ADJ9" s="204"/>
      <c r="ADK9" s="204"/>
      <c r="ADL9" s="203"/>
      <c r="ADM9" s="203"/>
      <c r="ADN9" s="203"/>
      <c r="ADO9" s="203"/>
      <c r="ADP9" s="203"/>
      <c r="ADQ9" s="204"/>
      <c r="ADR9" s="204"/>
      <c r="ADS9" s="203"/>
      <c r="ADT9" s="203"/>
      <c r="ADU9" s="203"/>
      <c r="ADV9" s="203"/>
      <c r="ADW9" s="203"/>
      <c r="ADX9" s="204"/>
      <c r="ADY9" s="204"/>
      <c r="ADZ9" s="203"/>
      <c r="AEA9" s="203"/>
      <c r="AEB9" s="203"/>
      <c r="AEC9" s="203"/>
      <c r="AED9" s="203"/>
      <c r="AEE9" s="204"/>
      <c r="AEF9" s="204"/>
      <c r="AEG9" s="203"/>
      <c r="AEH9" s="203"/>
      <c r="AEI9" s="203"/>
      <c r="AEJ9" s="203"/>
      <c r="AEK9" s="203"/>
      <c r="AEL9" s="204"/>
      <c r="AEM9" s="204"/>
      <c r="AEN9" s="203"/>
      <c r="AEO9" s="203"/>
      <c r="AEP9" s="203"/>
      <c r="AEQ9" s="203"/>
      <c r="AER9" s="203"/>
      <c r="AES9" s="204"/>
      <c r="AET9" s="204"/>
      <c r="AEU9" s="203"/>
      <c r="AEV9" s="203"/>
      <c r="AEW9" s="203"/>
      <c r="AEX9" s="203"/>
      <c r="AEY9" s="203"/>
      <c r="AEZ9" s="204"/>
      <c r="AFA9" s="204"/>
      <c r="AFB9" s="203"/>
      <c r="AFC9" s="203"/>
      <c r="AFD9" s="203"/>
      <c r="AFE9" s="203"/>
      <c r="AFF9" s="203"/>
      <c r="AFG9" s="204"/>
      <c r="AFH9" s="204"/>
      <c r="AFI9" s="203"/>
      <c r="AFJ9" s="203"/>
      <c r="AFK9" s="203"/>
      <c r="AFL9" s="203"/>
      <c r="AFM9" s="203"/>
      <c r="AFN9" s="204"/>
      <c r="AFO9" s="204"/>
      <c r="AFP9" s="203"/>
      <c r="AFQ9" s="203"/>
      <c r="AFR9" s="203"/>
      <c r="AFS9" s="203"/>
      <c r="AFT9" s="203"/>
      <c r="AFU9" s="204"/>
      <c r="AFV9" s="204"/>
      <c r="AFW9" s="203"/>
      <c r="AFX9" s="203"/>
      <c r="AFY9" s="203"/>
      <c r="AFZ9" s="203"/>
      <c r="AGA9" s="203"/>
      <c r="AGB9" s="204"/>
      <c r="AGC9" s="204"/>
      <c r="AGD9" s="203"/>
      <c r="AGE9" s="203"/>
      <c r="AGF9" s="203"/>
      <c r="AGG9" s="203"/>
      <c r="AGH9" s="203"/>
      <c r="AGI9" s="204"/>
      <c r="AGJ9" s="204"/>
      <c r="AGK9" s="203"/>
      <c r="AGL9" s="203"/>
      <c r="AGM9" s="203"/>
      <c r="AGN9" s="203"/>
      <c r="AGO9" s="203"/>
      <c r="AGP9" s="204"/>
      <c r="AGQ9" s="204"/>
      <c r="AGR9" s="203"/>
      <c r="AGS9" s="203"/>
      <c r="AGT9" s="203"/>
      <c r="AGU9" s="203"/>
      <c r="AGV9" s="203"/>
      <c r="AGW9" s="204"/>
      <c r="AGX9" s="204"/>
      <c r="AGY9" s="203"/>
      <c r="AGZ9" s="203"/>
      <c r="AHA9" s="203"/>
      <c r="AHB9" s="203"/>
      <c r="AHC9" s="203"/>
      <c r="AHD9" s="204"/>
      <c r="AHE9" s="204"/>
      <c r="AHF9" s="203"/>
      <c r="AHG9" s="203"/>
      <c r="AHH9" s="203"/>
      <c r="AHI9" s="203"/>
      <c r="AHJ9" s="203"/>
      <c r="AHK9" s="204"/>
      <c r="AHL9" s="204"/>
      <c r="AHM9" s="203"/>
      <c r="AHN9" s="203"/>
      <c r="AHO9" s="203"/>
      <c r="AHP9" s="203"/>
      <c r="AHQ9" s="203"/>
      <c r="AHR9" s="204"/>
      <c r="AHS9" s="204"/>
      <c r="AHT9" s="203"/>
      <c r="AHU9" s="203"/>
      <c r="AHV9" s="203"/>
      <c r="AHW9" s="203"/>
      <c r="AHX9" s="203"/>
      <c r="AHY9" s="204"/>
      <c r="AHZ9" s="204"/>
      <c r="AIA9" s="203"/>
      <c r="AIB9" s="203"/>
      <c r="AIC9" s="203"/>
      <c r="AID9" s="203"/>
      <c r="AIE9" s="203"/>
      <c r="AIF9" s="204"/>
      <c r="AIG9" s="204"/>
      <c r="AIH9" s="203"/>
      <c r="AII9" s="203"/>
      <c r="AIJ9" s="203"/>
      <c r="AIK9" s="203"/>
      <c r="AIL9" s="203"/>
      <c r="AIM9" s="204"/>
      <c r="AIN9" s="204"/>
      <c r="AIO9" s="203"/>
      <c r="AIP9" s="203"/>
      <c r="AIQ9" s="203"/>
      <c r="AIR9" s="203"/>
      <c r="AIS9" s="203"/>
      <c r="AIT9" s="204"/>
      <c r="AIU9" s="204"/>
      <c r="AIV9" s="203"/>
      <c r="AIW9" s="203"/>
      <c r="AIX9" s="203"/>
      <c r="AIY9" s="203"/>
      <c r="AIZ9" s="203"/>
      <c r="AJA9" s="204"/>
      <c r="AJB9" s="204"/>
      <c r="AJC9" s="203"/>
      <c r="AJD9" s="203"/>
      <c r="AJE9" s="203"/>
      <c r="AJF9" s="203"/>
      <c r="AJG9" s="203"/>
      <c r="AJH9" s="204"/>
      <c r="AJI9" s="204"/>
      <c r="AJJ9" s="203"/>
      <c r="AJK9" s="203"/>
      <c r="AJL9" s="203"/>
      <c r="AJM9" s="203"/>
      <c r="AJN9" s="203"/>
      <c r="AJO9" s="204"/>
      <c r="AJP9" s="204"/>
      <c r="AJQ9" s="203"/>
      <c r="AJR9" s="203"/>
      <c r="AJS9" s="203"/>
      <c r="AJT9" s="203"/>
      <c r="AJU9" s="203"/>
      <c r="AJV9" s="204"/>
      <c r="AJW9" s="204"/>
      <c r="AJX9" s="203"/>
      <c r="AJY9" s="203"/>
      <c r="AJZ9" s="203"/>
      <c r="AKA9" s="203"/>
      <c r="AKB9" s="203"/>
      <c r="AKC9" s="204"/>
      <c r="AKD9" s="204"/>
      <c r="AKE9" s="203"/>
      <c r="AKF9" s="203"/>
      <c r="AKG9" s="203"/>
      <c r="AKH9" s="203"/>
      <c r="AKI9" s="203"/>
      <c r="AKJ9" s="204"/>
      <c r="AKK9" s="204"/>
      <c r="AKL9" s="203"/>
      <c r="AKM9" s="203"/>
      <c r="AKN9" s="203"/>
      <c r="AKO9" s="203"/>
      <c r="AKP9" s="203"/>
      <c r="AKQ9" s="204"/>
      <c r="AKR9" s="204"/>
      <c r="AKS9" s="203"/>
      <c r="AKT9" s="203"/>
      <c r="AKU9" s="203"/>
      <c r="AKV9" s="203"/>
      <c r="AKW9" s="203"/>
      <c r="AKX9" s="204"/>
      <c r="AKY9" s="204"/>
      <c r="AKZ9" s="203"/>
      <c r="ALA9" s="203"/>
      <c r="ALB9" s="203"/>
      <c r="ALC9" s="203"/>
      <c r="ALD9" s="203"/>
      <c r="ALE9" s="204"/>
      <c r="ALF9" s="204"/>
      <c r="ALG9" s="203"/>
      <c r="ALH9" s="203"/>
      <c r="ALI9" s="203"/>
      <c r="ALJ9" s="203"/>
      <c r="ALK9" s="203"/>
      <c r="ALL9" s="204"/>
      <c r="ALM9" s="204"/>
      <c r="ALN9" s="203"/>
      <c r="ALO9" s="203"/>
      <c r="ALP9" s="203"/>
      <c r="ALQ9" s="203"/>
      <c r="ALR9" s="203"/>
      <c r="ALS9" s="204"/>
      <c r="ALT9" s="204"/>
      <c r="ALU9" s="203"/>
      <c r="ALV9" s="203"/>
      <c r="ALW9" s="203"/>
      <c r="ALX9" s="203"/>
      <c r="ALY9" s="203"/>
      <c r="ALZ9" s="204"/>
      <c r="AMA9" s="204"/>
      <c r="AMB9" s="203"/>
      <c r="AMC9" s="203"/>
      <c r="AMD9" s="203"/>
      <c r="AME9" s="203"/>
      <c r="AMF9" s="203"/>
      <c r="AMG9" s="204"/>
      <c r="AMH9" s="204"/>
      <c r="AMI9" s="203"/>
      <c r="AMJ9" s="203"/>
      <c r="AMK9" s="203"/>
      <c r="AML9" s="203"/>
      <c r="AMM9" s="203"/>
      <c r="AMN9" s="204"/>
      <c r="AMO9" s="204"/>
      <c r="AMP9" s="203"/>
      <c r="AMQ9" s="203"/>
      <c r="AMR9" s="203"/>
      <c r="AMS9" s="203"/>
      <c r="AMT9" s="203"/>
      <c r="AMU9" s="204"/>
      <c r="AMV9" s="204"/>
      <c r="AMW9" s="203"/>
      <c r="AMX9" s="203"/>
      <c r="AMY9" s="203"/>
      <c r="AMZ9" s="203"/>
      <c r="ANA9" s="203"/>
      <c r="ANB9" s="204"/>
      <c r="ANC9" s="204"/>
      <c r="AND9" s="203"/>
      <c r="ANE9" s="203"/>
      <c r="ANF9" s="203"/>
      <c r="ANG9" s="203"/>
      <c r="ANH9" s="203"/>
      <c r="ANI9" s="204"/>
      <c r="ANJ9" s="204"/>
      <c r="ANK9" s="203"/>
      <c r="ANL9" s="203"/>
      <c r="ANM9" s="203"/>
      <c r="ANN9" s="203"/>
      <c r="ANO9" s="203"/>
      <c r="ANP9" s="204"/>
      <c r="ANQ9" s="204"/>
      <c r="ANR9" s="203"/>
      <c r="ANS9" s="203"/>
      <c r="ANT9" s="203"/>
      <c r="ANU9" s="203"/>
      <c r="ANV9" s="203"/>
      <c r="ANW9" s="204"/>
      <c r="ANX9" s="204"/>
      <c r="ANY9" s="203"/>
      <c r="ANZ9" s="203"/>
      <c r="AOA9" s="203"/>
      <c r="AOB9" s="203"/>
      <c r="AOC9" s="203"/>
      <c r="AOD9" s="204"/>
      <c r="AOE9" s="204"/>
      <c r="AOF9" s="203"/>
      <c r="AOG9" s="203"/>
      <c r="AOH9" s="203"/>
      <c r="AOI9" s="203"/>
      <c r="AOJ9" s="203"/>
      <c r="AOK9" s="204"/>
      <c r="AOL9" s="204"/>
      <c r="AOM9" s="203"/>
      <c r="AON9" s="203"/>
      <c r="AOO9" s="203"/>
      <c r="AOP9" s="203"/>
      <c r="AOQ9" s="203"/>
      <c r="AOR9" s="204"/>
      <c r="AOS9" s="204"/>
      <c r="AOT9" s="203"/>
      <c r="AOU9" s="203"/>
      <c r="AOV9" s="203"/>
      <c r="AOW9" s="203"/>
      <c r="AOX9" s="203"/>
      <c r="AOY9" s="204"/>
      <c r="AOZ9" s="204"/>
      <c r="APA9" s="203"/>
      <c r="APB9" s="203"/>
      <c r="APC9" s="203"/>
      <c r="APD9" s="203"/>
      <c r="APE9" s="203"/>
      <c r="APF9" s="204"/>
      <c r="APG9" s="204"/>
      <c r="APH9" s="203"/>
      <c r="API9" s="203"/>
      <c r="APJ9" s="203"/>
      <c r="APK9" s="203"/>
      <c r="APL9" s="203"/>
      <c r="APM9" s="204"/>
      <c r="APN9" s="204"/>
      <c r="APO9" s="203"/>
      <c r="APP9" s="203"/>
      <c r="APQ9" s="203"/>
      <c r="APR9" s="203"/>
      <c r="APS9" s="203"/>
      <c r="APT9" s="204"/>
      <c r="APU9" s="204"/>
      <c r="APV9" s="203"/>
      <c r="APW9" s="203"/>
      <c r="APX9" s="203"/>
      <c r="APY9" s="203"/>
      <c r="APZ9" s="203"/>
      <c r="AQA9" s="204"/>
      <c r="AQB9" s="204"/>
      <c r="AQC9" s="203"/>
      <c r="AQD9" s="203"/>
      <c r="AQE9" s="203"/>
      <c r="AQF9" s="203"/>
      <c r="AQG9" s="203"/>
      <c r="AQH9" s="204"/>
      <c r="AQI9" s="204"/>
      <c r="AQJ9" s="203"/>
      <c r="AQK9" s="203"/>
      <c r="AQL9" s="203"/>
      <c r="AQM9" s="203"/>
      <c r="AQN9" s="203"/>
      <c r="AQO9" s="204"/>
      <c r="AQP9" s="204"/>
      <c r="AQQ9" s="203"/>
      <c r="AQR9" s="203"/>
      <c r="AQS9" s="203"/>
      <c r="AQT9" s="203"/>
      <c r="AQU9" s="203"/>
      <c r="AQV9" s="204"/>
      <c r="AQW9" s="204"/>
      <c r="AQX9" s="203"/>
      <c r="AQY9" s="203"/>
      <c r="AQZ9" s="203"/>
      <c r="ARA9" s="203"/>
      <c r="ARB9" s="203"/>
      <c r="ARC9" s="204"/>
      <c r="ARD9" s="204"/>
      <c r="ARE9" s="203"/>
      <c r="ARF9" s="203"/>
      <c r="ARG9" s="203"/>
      <c r="ARH9" s="203"/>
      <c r="ARI9" s="203"/>
      <c r="ARJ9" s="204"/>
      <c r="ARK9" s="204"/>
      <c r="ARL9" s="203"/>
      <c r="ARM9" s="203"/>
      <c r="ARN9" s="203"/>
      <c r="ARO9" s="203"/>
      <c r="ARP9" s="203"/>
      <c r="ARQ9" s="204"/>
      <c r="ARR9" s="204"/>
      <c r="ARS9" s="203"/>
      <c r="ART9" s="203"/>
      <c r="ARU9" s="203"/>
      <c r="ARV9" s="203"/>
      <c r="ARW9" s="203"/>
      <c r="ARX9" s="204"/>
      <c r="ARY9" s="204"/>
      <c r="ARZ9" s="203"/>
      <c r="ASA9" s="203"/>
      <c r="ASB9" s="203"/>
      <c r="ASC9" s="203"/>
      <c r="ASD9" s="203"/>
      <c r="ASE9" s="204"/>
      <c r="ASF9" s="204"/>
      <c r="ASG9" s="203"/>
      <c r="ASH9" s="203"/>
      <c r="ASI9" s="203"/>
      <c r="ASJ9" s="203"/>
      <c r="ASK9" s="203"/>
      <c r="ASL9" s="204"/>
      <c r="ASM9" s="204"/>
      <c r="ASN9" s="203"/>
      <c r="ASO9" s="203"/>
      <c r="ASP9" s="203"/>
      <c r="ASQ9" s="203"/>
      <c r="ASR9" s="203"/>
      <c r="ASS9" s="204"/>
      <c r="AST9" s="204"/>
      <c r="ASU9" s="203"/>
      <c r="ASV9" s="203"/>
      <c r="ASW9" s="203"/>
      <c r="ASX9" s="203"/>
      <c r="ASY9" s="203"/>
      <c r="ASZ9" s="204"/>
      <c r="ATA9" s="204"/>
      <c r="ATB9" s="203"/>
      <c r="ATC9" s="203"/>
      <c r="ATD9" s="203"/>
      <c r="ATE9" s="203"/>
      <c r="ATF9" s="203"/>
      <c r="ATG9" s="204"/>
      <c r="ATH9" s="204"/>
      <c r="ATI9" s="203"/>
      <c r="ATJ9" s="203"/>
      <c r="ATK9" s="203"/>
      <c r="ATL9" s="203"/>
      <c r="ATM9" s="203"/>
      <c r="ATN9" s="204"/>
      <c r="ATO9" s="204"/>
      <c r="ATP9" s="203"/>
      <c r="ATQ9" s="203"/>
      <c r="ATR9" s="203"/>
      <c r="ATS9" s="203"/>
      <c r="ATT9" s="203"/>
      <c r="ATU9" s="204"/>
      <c r="ATV9" s="204"/>
      <c r="ATW9" s="203"/>
      <c r="ATX9" s="203"/>
      <c r="ATY9" s="203"/>
      <c r="ATZ9" s="203"/>
      <c r="AUA9" s="203"/>
      <c r="AUB9" s="204"/>
      <c r="AUC9" s="204"/>
      <c r="AUD9" s="203"/>
      <c r="AUE9" s="203"/>
      <c r="AUF9" s="203"/>
      <c r="AUG9" s="203"/>
      <c r="AUH9" s="203"/>
      <c r="AUI9" s="204"/>
      <c r="AUJ9" s="204"/>
      <c r="AUK9" s="203"/>
      <c r="AUL9" s="203"/>
      <c r="AUM9" s="203"/>
      <c r="AUN9" s="203"/>
      <c r="AUO9" s="203"/>
      <c r="AUP9" s="204"/>
      <c r="AUQ9" s="204"/>
      <c r="AUR9" s="203"/>
      <c r="AUS9" s="203"/>
      <c r="AUT9" s="203"/>
      <c r="AUU9" s="203"/>
      <c r="AUV9" s="203"/>
      <c r="AUW9" s="204"/>
      <c r="AUX9" s="204"/>
      <c r="AUY9" s="203"/>
      <c r="AUZ9" s="203"/>
      <c r="AVA9" s="203"/>
      <c r="AVB9" s="203"/>
      <c r="AVC9" s="203"/>
      <c r="AVD9" s="204"/>
      <c r="AVE9" s="204"/>
      <c r="AVF9" s="203"/>
      <c r="AVG9" s="203"/>
      <c r="AVH9" s="203"/>
      <c r="AVI9" s="203"/>
      <c r="AVJ9" s="203"/>
      <c r="AVK9" s="204"/>
      <c r="AVL9" s="204"/>
      <c r="AVM9" s="203"/>
      <c r="AVN9" s="203"/>
      <c r="AVO9" s="203"/>
      <c r="AVP9" s="203"/>
      <c r="AVQ9" s="203"/>
      <c r="AVR9" s="204"/>
      <c r="AVS9" s="204"/>
      <c r="AVT9" s="203"/>
      <c r="AVU9" s="203"/>
      <c r="AVV9" s="203"/>
      <c r="AVW9" s="203"/>
      <c r="AVX9" s="203"/>
      <c r="AVY9" s="204"/>
      <c r="AVZ9" s="204"/>
      <c r="AWA9" s="203"/>
      <c r="AWB9" s="203"/>
      <c r="AWC9" s="203"/>
      <c r="AWD9" s="203"/>
      <c r="AWE9" s="203"/>
      <c r="AWF9" s="204"/>
      <c r="AWG9" s="204"/>
      <c r="AWH9" s="203"/>
      <c r="AWI9" s="203"/>
      <c r="AWJ9" s="203"/>
      <c r="AWK9" s="203"/>
      <c r="AWL9" s="203"/>
      <c r="AWM9" s="204"/>
      <c r="AWN9" s="204"/>
      <c r="AWO9" s="203"/>
      <c r="AWP9" s="203"/>
      <c r="AWQ9" s="203"/>
      <c r="AWR9" s="203"/>
      <c r="AWS9" s="203"/>
      <c r="AWT9" s="204"/>
      <c r="AWU9" s="204"/>
      <c r="AWV9" s="203"/>
      <c r="AWW9" s="203"/>
      <c r="AWX9" s="203"/>
      <c r="AWY9" s="203"/>
      <c r="AWZ9" s="203"/>
      <c r="AXA9" s="204"/>
      <c r="AXB9" s="204"/>
      <c r="AXC9" s="203"/>
      <c r="AXD9" s="203"/>
      <c r="AXE9" s="203"/>
      <c r="AXF9" s="203"/>
      <c r="AXG9" s="203"/>
      <c r="AXH9" s="204"/>
      <c r="AXI9" s="204"/>
      <c r="AXJ9" s="203"/>
      <c r="AXK9" s="203"/>
      <c r="AXL9" s="203"/>
      <c r="AXM9" s="203"/>
      <c r="AXN9" s="203"/>
      <c r="AXO9" s="204"/>
      <c r="AXP9" s="204"/>
      <c r="AXQ9" s="203"/>
      <c r="AXR9" s="203"/>
      <c r="AXS9" s="203"/>
      <c r="AXT9" s="203"/>
      <c r="AXU9" s="203"/>
      <c r="AXV9" s="204"/>
      <c r="AXW9" s="204"/>
      <c r="AXX9" s="203"/>
      <c r="AXY9" s="203"/>
      <c r="AXZ9" s="203"/>
      <c r="AYA9" s="203"/>
      <c r="AYB9" s="203"/>
      <c r="AYC9" s="204"/>
      <c r="AYD9" s="204"/>
      <c r="AYE9" s="203"/>
      <c r="AYF9" s="203"/>
      <c r="AYG9" s="203"/>
      <c r="AYH9" s="203"/>
      <c r="AYI9" s="203"/>
      <c r="AYJ9" s="204"/>
      <c r="AYK9" s="204"/>
      <c r="AYL9" s="203"/>
      <c r="AYM9" s="203"/>
      <c r="AYN9" s="203"/>
      <c r="AYO9" s="203"/>
      <c r="AYP9" s="203"/>
      <c r="AYQ9" s="204"/>
      <c r="AYR9" s="204"/>
      <c r="AYS9" s="203"/>
      <c r="AYT9" s="203"/>
      <c r="AYU9" s="203"/>
      <c r="AYV9" s="203"/>
      <c r="AYW9" s="203"/>
      <c r="AYX9" s="204"/>
      <c r="AYY9" s="204"/>
      <c r="AYZ9" s="203"/>
      <c r="AZA9" s="203"/>
      <c r="AZB9" s="203"/>
      <c r="AZC9" s="203"/>
      <c r="AZD9" s="203"/>
      <c r="AZE9" s="204"/>
      <c r="AZF9" s="204"/>
      <c r="AZG9" s="203"/>
      <c r="AZH9" s="203"/>
      <c r="AZI9" s="203"/>
      <c r="AZJ9" s="203"/>
      <c r="AZK9" s="203"/>
      <c r="AZL9" s="204"/>
      <c r="AZM9" s="204"/>
      <c r="AZN9" s="203"/>
      <c r="AZO9" s="203"/>
      <c r="AZP9" s="203"/>
      <c r="AZQ9" s="203"/>
      <c r="AZR9" s="203"/>
      <c r="AZS9" s="204"/>
      <c r="AZT9" s="204"/>
      <c r="AZU9" s="203"/>
      <c r="AZV9" s="203"/>
      <c r="AZW9" s="203"/>
      <c r="AZX9" s="203"/>
      <c r="AZY9" s="203"/>
      <c r="AZZ9" s="204"/>
      <c r="BAA9" s="204"/>
      <c r="BAB9" s="203"/>
      <c r="BAC9" s="203"/>
      <c r="BAD9" s="203"/>
      <c r="BAE9" s="203"/>
      <c r="BAF9" s="203"/>
      <c r="BAG9" s="204"/>
      <c r="BAH9" s="204"/>
      <c r="BAI9" s="203"/>
      <c r="BAJ9" s="203"/>
      <c r="BAK9" s="203"/>
      <c r="BAL9" s="203"/>
      <c r="BAM9" s="203"/>
      <c r="BAN9" s="204"/>
      <c r="BAO9" s="204"/>
      <c r="BAP9" s="203"/>
      <c r="BAQ9" s="203"/>
      <c r="BAR9" s="203"/>
      <c r="BAS9" s="203"/>
      <c r="BAT9" s="203"/>
      <c r="BAU9" s="204"/>
      <c r="BAV9" s="204"/>
      <c r="BAW9" s="203"/>
      <c r="BAX9" s="203"/>
      <c r="BAY9" s="203"/>
      <c r="BAZ9" s="203"/>
      <c r="BBA9" s="203"/>
      <c r="BBB9" s="204"/>
      <c r="BBC9" s="204"/>
      <c r="BBD9" s="203"/>
      <c r="BBE9" s="203"/>
      <c r="BBF9" s="203"/>
      <c r="BBG9" s="203"/>
      <c r="BBH9" s="203"/>
      <c r="BBI9" s="204"/>
      <c r="BBJ9" s="204"/>
      <c r="BBK9" s="203"/>
      <c r="BBL9" s="203"/>
      <c r="BBM9" s="203"/>
      <c r="BBN9" s="203"/>
      <c r="BBO9" s="203"/>
      <c r="BBP9" s="204"/>
      <c r="BBQ9" s="204"/>
      <c r="BBR9" s="203"/>
      <c r="BBS9" s="203"/>
      <c r="BBT9" s="203"/>
      <c r="BBU9" s="203"/>
      <c r="BBV9" s="203"/>
      <c r="BBW9" s="204"/>
      <c r="BBX9" s="204"/>
      <c r="BBY9" s="203"/>
      <c r="BBZ9" s="203"/>
      <c r="BCA9" s="203"/>
      <c r="BCB9" s="203"/>
      <c r="BCC9" s="203"/>
      <c r="BCD9" s="204"/>
      <c r="BCE9" s="204"/>
      <c r="BCF9" s="203"/>
      <c r="BCG9" s="203"/>
      <c r="BCH9" s="203"/>
      <c r="BCI9" s="203"/>
      <c r="BCJ9" s="203"/>
      <c r="BCK9" s="204"/>
      <c r="BCL9" s="204"/>
      <c r="BCM9" s="203"/>
      <c r="BCN9" s="203"/>
      <c r="BCO9" s="203"/>
      <c r="BCP9" s="203"/>
      <c r="BCQ9" s="203"/>
      <c r="BCR9" s="204"/>
      <c r="BCS9" s="204"/>
      <c r="BCT9" s="203"/>
      <c r="BCU9" s="203"/>
      <c r="BCV9" s="203"/>
      <c r="BCW9" s="203"/>
      <c r="BCX9" s="203"/>
      <c r="BCY9" s="204"/>
      <c r="BCZ9" s="204"/>
      <c r="BDA9" s="203"/>
      <c r="BDB9" s="203"/>
      <c r="BDC9" s="203"/>
      <c r="BDD9" s="203"/>
      <c r="BDE9" s="203"/>
      <c r="BDF9" s="204"/>
      <c r="BDG9" s="204"/>
      <c r="BDH9" s="203"/>
      <c r="BDI9" s="203"/>
      <c r="BDJ9" s="203"/>
      <c r="BDK9" s="203"/>
      <c r="BDL9" s="203"/>
      <c r="BDM9" s="204"/>
      <c r="BDN9" s="204"/>
      <c r="BDO9" s="203"/>
      <c r="BDP9" s="203"/>
      <c r="BDQ9" s="203"/>
      <c r="BDR9" s="203"/>
      <c r="BDS9" s="203"/>
      <c r="BDT9" s="204"/>
      <c r="BDU9" s="204"/>
      <c r="BDV9" s="203"/>
      <c r="BDW9" s="203"/>
      <c r="BDX9" s="203"/>
      <c r="BDY9" s="203"/>
      <c r="BDZ9" s="203"/>
      <c r="BEA9" s="204"/>
      <c r="BEB9" s="204"/>
      <c r="BEC9" s="203"/>
      <c r="BED9" s="203"/>
      <c r="BEE9" s="203"/>
      <c r="BEF9" s="203"/>
      <c r="BEG9" s="203"/>
      <c r="BEH9" s="204"/>
      <c r="BEI9" s="204"/>
      <c r="BEJ9" s="203"/>
      <c r="BEK9" s="203"/>
      <c r="BEL9" s="203"/>
      <c r="BEM9" s="203"/>
      <c r="BEN9" s="203"/>
      <c r="BEO9" s="204"/>
      <c r="BEP9" s="204"/>
      <c r="BEQ9" s="203"/>
      <c r="BER9" s="203"/>
      <c r="BES9" s="203"/>
      <c r="BET9" s="203"/>
      <c r="BEU9" s="203"/>
      <c r="BEV9" s="204"/>
      <c r="BEW9" s="204"/>
      <c r="BEX9" s="203"/>
      <c r="BEY9" s="203"/>
      <c r="BEZ9" s="203"/>
      <c r="BFA9" s="203"/>
      <c r="BFB9" s="203"/>
      <c r="BFC9" s="204"/>
      <c r="BFD9" s="204"/>
      <c r="BFE9" s="203"/>
      <c r="BFF9" s="203"/>
      <c r="BFG9" s="203"/>
      <c r="BFH9" s="203"/>
      <c r="BFI9" s="203"/>
      <c r="BFJ9" s="204"/>
      <c r="BFK9" s="204"/>
      <c r="BFL9" s="203"/>
      <c r="BFM9" s="203"/>
      <c r="BFN9" s="203"/>
      <c r="BFO9" s="203"/>
      <c r="BFP9" s="203"/>
      <c r="BFQ9" s="204"/>
      <c r="BFR9" s="204"/>
      <c r="BFS9" s="203"/>
      <c r="BFT9" s="203"/>
      <c r="BFU9" s="203"/>
      <c r="BFV9" s="203"/>
      <c r="BFW9" s="203"/>
      <c r="BFX9" s="204"/>
      <c r="BFY9" s="204"/>
      <c r="BFZ9" s="203"/>
      <c r="BGA9" s="203"/>
      <c r="BGB9" s="203"/>
      <c r="BGC9" s="203"/>
      <c r="BGD9" s="203"/>
      <c r="BGE9" s="204"/>
      <c r="BGF9" s="204"/>
      <c r="BGG9" s="203"/>
      <c r="BGH9" s="203"/>
      <c r="BGI9" s="203"/>
      <c r="BGJ9" s="203"/>
      <c r="BGK9" s="203"/>
      <c r="BGL9" s="204"/>
      <c r="BGM9" s="204"/>
      <c r="BGN9" s="203"/>
      <c r="BGO9" s="203"/>
      <c r="BGP9" s="203"/>
      <c r="BGQ9" s="203"/>
      <c r="BGR9" s="203"/>
      <c r="BGS9" s="204"/>
      <c r="BGT9" s="204"/>
      <c r="BGU9" s="203"/>
      <c r="BGV9" s="203"/>
      <c r="BGW9" s="203"/>
      <c r="BGX9" s="203"/>
      <c r="BGY9" s="203"/>
      <c r="BGZ9" s="204"/>
      <c r="BHA9" s="204"/>
      <c r="BHB9" s="203"/>
      <c r="BHC9" s="203"/>
      <c r="BHD9" s="203"/>
      <c r="BHE9" s="203"/>
      <c r="BHF9" s="203"/>
      <c r="BHG9" s="204"/>
      <c r="BHH9" s="204"/>
      <c r="BHI9" s="203"/>
      <c r="BHJ9" s="203"/>
      <c r="BHK9" s="203"/>
      <c r="BHL9" s="203"/>
      <c r="BHM9" s="203"/>
      <c r="BHN9" s="204"/>
      <c r="BHO9" s="204"/>
      <c r="BHP9" s="203"/>
      <c r="BHQ9" s="203"/>
      <c r="BHR9" s="203"/>
      <c r="BHS9" s="203"/>
      <c r="BHT9" s="203"/>
      <c r="BHU9" s="204"/>
      <c r="BHV9" s="204"/>
      <c r="BHW9" s="203"/>
      <c r="BHX9" s="203"/>
      <c r="BHY9" s="203"/>
      <c r="BHZ9" s="203"/>
      <c r="BIA9" s="203"/>
      <c r="BIB9" s="204"/>
      <c r="BIC9" s="204"/>
      <c r="BID9" s="203"/>
      <c r="BIE9" s="203"/>
      <c r="BIF9" s="203"/>
      <c r="BIG9" s="203"/>
      <c r="BIH9" s="203"/>
      <c r="BII9" s="204"/>
      <c r="BIJ9" s="204"/>
      <c r="BIK9" s="203"/>
      <c r="BIL9" s="203"/>
      <c r="BIM9" s="203"/>
      <c r="BIN9" s="203"/>
      <c r="BIO9" s="203"/>
      <c r="BIP9" s="204"/>
      <c r="BIQ9" s="204"/>
      <c r="BIR9" s="203"/>
      <c r="BIS9" s="203"/>
      <c r="BIT9" s="203"/>
      <c r="BIU9" s="203"/>
      <c r="BIV9" s="203"/>
      <c r="BIW9" s="204"/>
      <c r="BIX9" s="204"/>
      <c r="BIY9" s="203"/>
      <c r="BIZ9" s="203"/>
      <c r="BJA9" s="203"/>
      <c r="BJB9" s="203"/>
      <c r="BJC9" s="203"/>
      <c r="BJD9" s="204"/>
      <c r="BJE9" s="204"/>
      <c r="BJF9" s="203"/>
      <c r="BJG9" s="203"/>
      <c r="BJH9" s="203"/>
      <c r="BJI9" s="203"/>
      <c r="BJJ9" s="203"/>
      <c r="BJK9" s="204"/>
      <c r="BJL9" s="204"/>
      <c r="BJM9" s="203"/>
      <c r="BJN9" s="203"/>
      <c r="BJO9" s="203"/>
      <c r="BJP9" s="203"/>
      <c r="BJQ9" s="203"/>
      <c r="BJR9" s="204"/>
      <c r="BJS9" s="204"/>
      <c r="BJT9" s="203"/>
      <c r="BJU9" s="203"/>
      <c r="BJV9" s="203"/>
      <c r="BJW9" s="203"/>
      <c r="BJX9" s="203"/>
      <c r="BJY9" s="204"/>
      <c r="BJZ9" s="204"/>
      <c r="BKA9" s="203"/>
      <c r="BKB9" s="203"/>
      <c r="BKC9" s="203"/>
      <c r="BKD9" s="203"/>
      <c r="BKE9" s="203"/>
      <c r="BKF9" s="204"/>
      <c r="BKG9" s="204"/>
      <c r="BKH9" s="203"/>
      <c r="BKI9" s="203"/>
      <c r="BKJ9" s="203"/>
      <c r="BKK9" s="203"/>
      <c r="BKL9" s="203"/>
      <c r="BKM9" s="204"/>
      <c r="BKN9" s="204"/>
      <c r="BKO9" s="203"/>
      <c r="BKP9" s="203"/>
      <c r="BKQ9" s="203"/>
      <c r="BKR9" s="203"/>
      <c r="BKS9" s="203"/>
      <c r="BKT9" s="204"/>
      <c r="BKU9" s="204"/>
      <c r="BKV9" s="203"/>
      <c r="BKW9" s="203"/>
      <c r="BKX9" s="203"/>
      <c r="BKY9" s="203"/>
      <c r="BKZ9" s="203"/>
      <c r="BLA9" s="204"/>
      <c r="BLB9" s="204"/>
      <c r="BLC9" s="203"/>
      <c r="BLD9" s="203"/>
      <c r="BLE9" s="203"/>
      <c r="BLF9" s="203"/>
      <c r="BLG9" s="203"/>
      <c r="BLH9" s="204"/>
      <c r="BLI9" s="204"/>
      <c r="BLJ9" s="203"/>
      <c r="BLK9" s="203"/>
      <c r="BLL9" s="203"/>
      <c r="BLM9" s="203"/>
      <c r="BLN9" s="203"/>
      <c r="BLO9" s="204"/>
      <c r="BLP9" s="204"/>
      <c r="BLQ9" s="203"/>
      <c r="BLR9" s="203"/>
      <c r="BLS9" s="203"/>
      <c r="BLT9" s="203"/>
      <c r="BLU9" s="203"/>
      <c r="BLV9" s="204"/>
      <c r="BLW9" s="204"/>
      <c r="BLX9" s="203"/>
      <c r="BLY9" s="203"/>
      <c r="BLZ9" s="203"/>
      <c r="BMA9" s="203"/>
      <c r="BMB9" s="203"/>
      <c r="BMC9" s="204"/>
      <c r="BMD9" s="204"/>
      <c r="BME9" s="203"/>
      <c r="BMF9" s="203"/>
      <c r="BMG9" s="203"/>
      <c r="BMH9" s="203"/>
      <c r="BMI9" s="203"/>
      <c r="BMJ9" s="204"/>
      <c r="BMK9" s="204"/>
      <c r="BML9" s="203"/>
      <c r="BMM9" s="203"/>
      <c r="BMN9" s="203"/>
      <c r="BMO9" s="203"/>
      <c r="BMP9" s="203"/>
      <c r="BMQ9" s="204"/>
      <c r="BMR9" s="204"/>
      <c r="BMS9" s="203"/>
      <c r="BMT9" s="203"/>
      <c r="BMU9" s="203"/>
      <c r="BMV9" s="203"/>
      <c r="BMW9" s="203"/>
      <c r="BMX9" s="204"/>
      <c r="BMY9" s="204"/>
      <c r="BMZ9" s="203"/>
      <c r="BNA9" s="203"/>
      <c r="BNB9" s="203"/>
      <c r="BNC9" s="203"/>
      <c r="BND9" s="203"/>
      <c r="BNE9" s="204"/>
      <c r="BNF9" s="204"/>
      <c r="BNG9" s="203"/>
      <c r="BNH9" s="203"/>
      <c r="BNI9" s="203"/>
      <c r="BNJ9" s="203"/>
      <c r="BNK9" s="203"/>
      <c r="BNL9" s="204"/>
      <c r="BNM9" s="204"/>
      <c r="BNN9" s="203"/>
      <c r="BNO9" s="203"/>
      <c r="BNP9" s="203"/>
      <c r="BNQ9" s="203"/>
      <c r="BNR9" s="203"/>
      <c r="BNS9" s="204"/>
      <c r="BNT9" s="204"/>
      <c r="BNU9" s="203"/>
      <c r="BNV9" s="203"/>
      <c r="BNW9" s="203"/>
      <c r="BNX9" s="203"/>
      <c r="BNY9" s="203"/>
      <c r="BNZ9" s="204"/>
      <c r="BOA9" s="204"/>
      <c r="BOB9" s="203"/>
      <c r="BOC9" s="203"/>
      <c r="BOD9" s="203"/>
      <c r="BOE9" s="203"/>
      <c r="BOF9" s="203"/>
      <c r="BOG9" s="204"/>
      <c r="BOH9" s="204"/>
      <c r="BOI9" s="203"/>
      <c r="BOJ9" s="203"/>
      <c r="BOK9" s="203"/>
      <c r="BOL9" s="203"/>
      <c r="BOM9" s="203"/>
      <c r="BON9" s="204"/>
      <c r="BOO9" s="204"/>
      <c r="BOP9" s="203"/>
      <c r="BOQ9" s="203"/>
      <c r="BOR9" s="203"/>
      <c r="BOS9" s="203"/>
      <c r="BOT9" s="203"/>
      <c r="BOU9" s="204"/>
      <c r="BOV9" s="204"/>
      <c r="BOW9" s="203"/>
      <c r="BOX9" s="203"/>
      <c r="BOY9" s="203"/>
      <c r="BOZ9" s="203"/>
      <c r="BPA9" s="203"/>
      <c r="BPB9" s="204"/>
      <c r="BPC9" s="204"/>
      <c r="BPD9" s="203"/>
      <c r="BPE9" s="203"/>
      <c r="BPF9" s="203"/>
      <c r="BPG9" s="203"/>
      <c r="BPH9" s="203"/>
      <c r="BPI9" s="204"/>
      <c r="BPJ9" s="204"/>
      <c r="BPK9" s="203"/>
      <c r="BPL9" s="203"/>
      <c r="BPM9" s="203"/>
      <c r="BPN9" s="203"/>
      <c r="BPO9" s="203"/>
      <c r="BPP9" s="204"/>
      <c r="BPQ9" s="204"/>
      <c r="BPR9" s="203"/>
      <c r="BPS9" s="203"/>
      <c r="BPT9" s="203"/>
      <c r="BPU9" s="203"/>
      <c r="BPV9" s="203"/>
      <c r="BPW9" s="204"/>
      <c r="BPX9" s="204"/>
      <c r="BPY9" s="203"/>
      <c r="BPZ9" s="203"/>
      <c r="BQA9" s="203"/>
      <c r="BQB9" s="203"/>
      <c r="BQC9" s="203"/>
      <c r="BQD9" s="204"/>
      <c r="BQE9" s="204"/>
      <c r="BQF9" s="203"/>
      <c r="BQG9" s="203"/>
      <c r="BQH9" s="203"/>
      <c r="BQI9" s="203"/>
      <c r="BQJ9" s="203"/>
      <c r="BQK9" s="204"/>
      <c r="BQL9" s="204"/>
      <c r="BQM9" s="203"/>
      <c r="BQN9" s="203"/>
      <c r="BQO9" s="203"/>
      <c r="BQP9" s="203"/>
      <c r="BQQ9" s="203"/>
      <c r="BQR9" s="204"/>
      <c r="BQS9" s="204"/>
      <c r="BQT9" s="203"/>
      <c r="BQU9" s="203"/>
      <c r="BQV9" s="203"/>
      <c r="BQW9" s="203"/>
      <c r="BQX9" s="203"/>
      <c r="BQY9" s="204"/>
      <c r="BQZ9" s="204"/>
      <c r="BRA9" s="203"/>
      <c r="BRB9" s="203"/>
      <c r="BRC9" s="203"/>
      <c r="BRD9" s="203"/>
      <c r="BRE9" s="203"/>
      <c r="BRF9" s="204"/>
      <c r="BRG9" s="204"/>
      <c r="BRH9" s="203"/>
      <c r="BRI9" s="203"/>
      <c r="BRJ9" s="203"/>
      <c r="BRK9" s="203"/>
      <c r="BRL9" s="203"/>
      <c r="BRM9" s="204"/>
      <c r="BRN9" s="204"/>
      <c r="BRO9" s="203"/>
      <c r="BRP9" s="203"/>
      <c r="BRQ9" s="203"/>
      <c r="BRR9" s="203"/>
      <c r="BRS9" s="203"/>
      <c r="BRT9" s="204"/>
      <c r="BRU9" s="204"/>
      <c r="BRV9" s="203"/>
      <c r="BRW9" s="203"/>
      <c r="BRX9" s="203"/>
      <c r="BRY9" s="203"/>
      <c r="BRZ9" s="203"/>
      <c r="BSA9" s="204"/>
      <c r="BSB9" s="204"/>
      <c r="BSC9" s="203"/>
      <c r="BSD9" s="203"/>
      <c r="BSE9" s="203"/>
      <c r="BSF9" s="203"/>
      <c r="BSG9" s="203"/>
      <c r="BSH9" s="204"/>
      <c r="BSI9" s="204"/>
      <c r="BSJ9" s="203"/>
      <c r="BSK9" s="203"/>
      <c r="BSL9" s="203"/>
      <c r="BSM9" s="203"/>
      <c r="BSN9" s="203"/>
      <c r="BSO9" s="204"/>
      <c r="BSP9" s="204"/>
      <c r="BSQ9" s="203"/>
      <c r="BSR9" s="203"/>
      <c r="BSS9" s="203"/>
      <c r="BST9" s="203"/>
      <c r="BSU9" s="203"/>
      <c r="BSV9" s="204"/>
      <c r="BSW9" s="204"/>
      <c r="BSX9" s="203"/>
      <c r="BSY9" s="203"/>
      <c r="BSZ9" s="203"/>
      <c r="BTA9" s="203"/>
      <c r="BTB9" s="203"/>
      <c r="BTC9" s="204"/>
      <c r="BTD9" s="204"/>
      <c r="BTE9" s="203"/>
      <c r="BTF9" s="203"/>
      <c r="BTG9" s="203"/>
      <c r="BTH9" s="203"/>
      <c r="BTI9" s="203"/>
      <c r="BTJ9" s="204"/>
      <c r="BTK9" s="204"/>
      <c r="BTL9" s="203"/>
      <c r="BTM9" s="203"/>
      <c r="BTN9" s="203"/>
      <c r="BTO9" s="203"/>
      <c r="BTP9" s="203"/>
      <c r="BTQ9" s="204"/>
      <c r="BTR9" s="204"/>
      <c r="BTS9" s="203"/>
      <c r="BTT9" s="203"/>
      <c r="BTU9" s="203"/>
      <c r="BTV9" s="203"/>
      <c r="BTW9" s="203"/>
      <c r="BTX9" s="204"/>
      <c r="BTY9" s="204"/>
      <c r="BTZ9" s="203"/>
      <c r="BUA9" s="203"/>
      <c r="BUB9" s="203"/>
      <c r="BUC9" s="203"/>
      <c r="BUD9" s="203"/>
      <c r="BUE9" s="204"/>
      <c r="BUF9" s="204"/>
      <c r="BUG9" s="203"/>
      <c r="BUH9" s="203"/>
      <c r="BUI9" s="203"/>
      <c r="BUJ9" s="203"/>
      <c r="BUK9" s="203"/>
      <c r="BUL9" s="204"/>
      <c r="BUM9" s="204"/>
      <c r="BUN9" s="203"/>
      <c r="BUO9" s="203"/>
      <c r="BUP9" s="203"/>
      <c r="BUQ9" s="203"/>
      <c r="BUR9" s="203"/>
      <c r="BUS9" s="204"/>
      <c r="BUT9" s="204"/>
      <c r="BUU9" s="203"/>
      <c r="BUV9" s="203"/>
      <c r="BUW9" s="203"/>
      <c r="BUX9" s="203"/>
      <c r="BUY9" s="203"/>
      <c r="BUZ9" s="204"/>
      <c r="BVA9" s="204"/>
      <c r="BVB9" s="203"/>
      <c r="BVC9" s="203"/>
      <c r="BVD9" s="203"/>
      <c r="BVE9" s="203"/>
      <c r="BVF9" s="203"/>
      <c r="BVG9" s="204"/>
      <c r="BVH9" s="204"/>
      <c r="BVI9" s="203"/>
      <c r="BVJ9" s="203"/>
      <c r="BVK9" s="203"/>
      <c r="BVL9" s="203"/>
      <c r="BVM9" s="203"/>
      <c r="BVN9" s="204"/>
      <c r="BVO9" s="204"/>
      <c r="BVP9" s="203"/>
      <c r="BVQ9" s="203"/>
      <c r="BVR9" s="203"/>
      <c r="BVS9" s="203"/>
      <c r="BVT9" s="203"/>
      <c r="BVU9" s="204"/>
      <c r="BVV9" s="204"/>
      <c r="BVW9" s="203"/>
      <c r="BVX9" s="203"/>
      <c r="BVY9" s="203"/>
      <c r="BVZ9" s="203"/>
      <c r="BWA9" s="203"/>
      <c r="BWB9" s="204"/>
      <c r="BWC9" s="204"/>
      <c r="BWD9" s="203"/>
      <c r="BWE9" s="203"/>
      <c r="BWF9" s="203"/>
      <c r="BWG9" s="203"/>
      <c r="BWH9" s="203"/>
      <c r="BWI9" s="204"/>
      <c r="BWJ9" s="204"/>
      <c r="BWK9" s="203"/>
      <c r="BWL9" s="203"/>
      <c r="BWM9" s="203"/>
      <c r="BWN9" s="203"/>
      <c r="BWO9" s="203"/>
      <c r="BWP9" s="204"/>
      <c r="BWQ9" s="204"/>
      <c r="BWR9" s="203"/>
      <c r="BWS9" s="203"/>
      <c r="BWT9" s="203"/>
      <c r="BWU9" s="203"/>
      <c r="BWV9" s="203"/>
      <c r="BWW9" s="204"/>
      <c r="BWX9" s="204"/>
      <c r="BWY9" s="203"/>
      <c r="BWZ9" s="203"/>
      <c r="BXA9" s="203"/>
      <c r="BXB9" s="203"/>
      <c r="BXC9" s="203"/>
      <c r="BXD9" s="204"/>
      <c r="BXE9" s="204"/>
      <c r="BXF9" s="203"/>
      <c r="BXG9" s="203"/>
      <c r="BXH9" s="203"/>
      <c r="BXI9" s="203"/>
      <c r="BXJ9" s="203"/>
      <c r="BXK9" s="204"/>
      <c r="BXL9" s="204"/>
      <c r="BXM9" s="203"/>
      <c r="BXN9" s="203"/>
      <c r="BXO9" s="203"/>
      <c r="BXP9" s="203"/>
      <c r="BXQ9" s="203"/>
      <c r="BXR9" s="204"/>
      <c r="BXS9" s="204"/>
      <c r="BXT9" s="203"/>
      <c r="BXU9" s="203"/>
      <c r="BXV9" s="203"/>
      <c r="BXW9" s="203"/>
      <c r="BXX9" s="203"/>
      <c r="BXY9" s="204"/>
      <c r="BXZ9" s="204"/>
      <c r="BYA9" s="203"/>
      <c r="BYB9" s="203"/>
      <c r="BYC9" s="203"/>
      <c r="BYD9" s="203"/>
      <c r="BYE9" s="203"/>
      <c r="BYF9" s="204"/>
      <c r="BYG9" s="204"/>
      <c r="BYH9" s="203"/>
      <c r="BYI9" s="203"/>
      <c r="BYJ9" s="203"/>
      <c r="BYK9" s="203"/>
      <c r="BYL9" s="203"/>
      <c r="BYM9" s="204"/>
      <c r="BYN9" s="204"/>
      <c r="BYO9" s="203"/>
      <c r="BYP9" s="203"/>
      <c r="BYQ9" s="203"/>
      <c r="BYR9" s="203"/>
      <c r="BYS9" s="203"/>
      <c r="BYT9" s="204"/>
      <c r="BYU9" s="204"/>
      <c r="BYV9" s="203"/>
      <c r="BYW9" s="203"/>
      <c r="BYX9" s="203"/>
      <c r="BYY9" s="203"/>
      <c r="BYZ9" s="203"/>
      <c r="BZA9" s="204"/>
      <c r="BZB9" s="204"/>
      <c r="BZC9" s="203"/>
      <c r="BZD9" s="203"/>
      <c r="BZE9" s="203"/>
      <c r="BZF9" s="203"/>
      <c r="BZG9" s="203"/>
      <c r="BZH9" s="204"/>
      <c r="BZI9" s="204"/>
      <c r="BZJ9" s="203"/>
      <c r="BZK9" s="203"/>
      <c r="BZL9" s="203"/>
      <c r="BZM9" s="203"/>
      <c r="BZN9" s="203"/>
      <c r="BZO9" s="204"/>
      <c r="BZP9" s="204"/>
      <c r="BZQ9" s="203"/>
      <c r="BZR9" s="203"/>
      <c r="BZS9" s="203"/>
      <c r="BZT9" s="203"/>
      <c r="BZU9" s="203"/>
      <c r="BZV9" s="204"/>
      <c r="BZW9" s="204"/>
      <c r="BZX9" s="203"/>
      <c r="BZY9" s="203"/>
      <c r="BZZ9" s="203"/>
      <c r="CAA9" s="203"/>
      <c r="CAB9" s="203"/>
      <c r="CAC9" s="204"/>
      <c r="CAD9" s="204"/>
      <c r="CAE9" s="203"/>
      <c r="CAF9" s="203"/>
      <c r="CAG9" s="203"/>
      <c r="CAH9" s="203"/>
      <c r="CAI9" s="203"/>
      <c r="CAJ9" s="204"/>
      <c r="CAK9" s="204"/>
      <c r="CAL9" s="203"/>
      <c r="CAM9" s="203"/>
      <c r="CAN9" s="203"/>
      <c r="CAO9" s="203"/>
      <c r="CAP9" s="203"/>
      <c r="CAQ9" s="204"/>
      <c r="CAR9" s="204"/>
      <c r="CAS9" s="203"/>
      <c r="CAT9" s="203"/>
      <c r="CAU9" s="203"/>
      <c r="CAV9" s="203"/>
      <c r="CAW9" s="203"/>
      <c r="CAX9" s="204"/>
      <c r="CAY9" s="204"/>
      <c r="CAZ9" s="203"/>
      <c r="CBA9" s="203"/>
      <c r="CBB9" s="203"/>
      <c r="CBC9" s="203"/>
      <c r="CBD9" s="203"/>
      <c r="CBE9" s="204"/>
      <c r="CBF9" s="204"/>
      <c r="CBG9" s="203"/>
      <c r="CBH9" s="203"/>
      <c r="CBI9" s="203"/>
      <c r="CBJ9" s="203"/>
      <c r="CBK9" s="203"/>
      <c r="CBL9" s="204"/>
      <c r="CBM9" s="204"/>
      <c r="CBN9" s="203"/>
      <c r="CBO9" s="203"/>
      <c r="CBP9" s="203"/>
      <c r="CBQ9" s="203"/>
      <c r="CBR9" s="203"/>
      <c r="CBS9" s="204"/>
      <c r="CBT9" s="204"/>
      <c r="CBU9" s="203"/>
      <c r="CBV9" s="203"/>
      <c r="CBW9" s="203"/>
      <c r="CBX9" s="203"/>
      <c r="CBY9" s="203"/>
      <c r="CBZ9" s="204"/>
      <c r="CCA9" s="204"/>
      <c r="CCB9" s="203"/>
      <c r="CCC9" s="203"/>
      <c r="CCD9" s="203"/>
      <c r="CCE9" s="203"/>
      <c r="CCF9" s="203"/>
      <c r="CCG9" s="204"/>
      <c r="CCH9" s="204"/>
      <c r="CCI9" s="203"/>
      <c r="CCJ9" s="203"/>
      <c r="CCK9" s="203"/>
      <c r="CCL9" s="203"/>
      <c r="CCM9" s="203"/>
      <c r="CCN9" s="204"/>
      <c r="CCO9" s="204"/>
      <c r="CCP9" s="203"/>
      <c r="CCQ9" s="203"/>
      <c r="CCR9" s="203"/>
      <c r="CCS9" s="203"/>
      <c r="CCT9" s="203"/>
      <c r="CCU9" s="204"/>
      <c r="CCV9" s="204"/>
      <c r="CCW9" s="202"/>
      <c r="VSR9" s="52"/>
      <c r="VSZ9" s="52"/>
    </row>
    <row r="10" spans="1:2129 15008:15068 15384:15392" customFormat="1" ht="15.95" customHeight="1" x14ac:dyDescent="0.25">
      <c r="A10" s="205" t="s">
        <v>62</v>
      </c>
      <c r="B10" s="205">
        <v>1</v>
      </c>
      <c r="C10" s="205"/>
      <c r="D10" s="205"/>
      <c r="E10" s="205"/>
      <c r="F10" s="205"/>
      <c r="G10" s="206">
        <v>1</v>
      </c>
      <c r="H10" s="207" t="s">
        <v>61</v>
      </c>
      <c r="I10" s="207"/>
      <c r="J10" s="208"/>
      <c r="K10" s="209"/>
      <c r="L10" s="210"/>
      <c r="M10" s="211"/>
      <c r="N10" s="210">
        <v>42933</v>
      </c>
      <c r="O10" s="210">
        <v>42937</v>
      </c>
      <c r="P10" s="211">
        <v>5</v>
      </c>
      <c r="Q10" s="212">
        <v>0</v>
      </c>
      <c r="R10" s="210"/>
      <c r="S10" s="210"/>
      <c r="T10" s="211"/>
      <c r="U10" s="213"/>
      <c r="V10" s="213"/>
      <c r="W10" s="213"/>
      <c r="X10" s="214"/>
      <c r="Y10" s="215"/>
      <c r="Z10" s="216"/>
      <c r="AA10" s="217"/>
      <c r="AB10" s="218"/>
      <c r="AC10" s="219"/>
      <c r="AD10" s="219"/>
      <c r="AE10" s="219"/>
      <c r="AF10" s="219"/>
      <c r="AG10" s="219"/>
      <c r="AH10" s="219"/>
      <c r="AI10" s="219"/>
      <c r="AJ10" s="219"/>
      <c r="AK10" s="219"/>
      <c r="AL10" s="219"/>
      <c r="AM10" s="219"/>
      <c r="AN10" s="219"/>
      <c r="AO10" s="219"/>
      <c r="AP10" s="219"/>
      <c r="AQ10" s="219"/>
      <c r="AR10" s="219"/>
      <c r="AS10" s="219"/>
      <c r="AT10" s="219"/>
      <c r="AU10" s="219"/>
      <c r="AV10" s="219"/>
      <c r="AW10" s="219"/>
      <c r="AX10" s="219"/>
      <c r="AY10" s="219"/>
      <c r="AZ10" s="219"/>
      <c r="BA10" s="219"/>
      <c r="BB10" s="219"/>
      <c r="BC10" s="219"/>
      <c r="BD10" s="219"/>
      <c r="BE10" s="219"/>
      <c r="BF10" s="219"/>
      <c r="BG10" s="219"/>
      <c r="BH10" s="219"/>
      <c r="BI10" s="219"/>
      <c r="BJ10" s="219"/>
      <c r="BK10" s="219"/>
      <c r="BL10" s="219"/>
      <c r="BM10" s="219"/>
      <c r="BN10" s="219"/>
      <c r="BO10" s="219"/>
      <c r="BP10" s="219"/>
      <c r="BQ10" s="219"/>
      <c r="BR10" s="219"/>
      <c r="BS10" s="219"/>
      <c r="BT10" s="219"/>
      <c r="BU10" s="219"/>
      <c r="BV10" s="219"/>
      <c r="BW10" s="219"/>
      <c r="BX10" s="219"/>
      <c r="BY10" s="219"/>
      <c r="BZ10" s="219"/>
      <c r="CA10" s="219"/>
      <c r="CB10" s="219"/>
      <c r="CC10" s="219"/>
      <c r="CD10" s="219"/>
      <c r="CE10" s="219"/>
      <c r="CF10" s="219"/>
      <c r="CG10" s="205"/>
      <c r="CH10" s="205"/>
      <c r="CI10" s="205"/>
      <c r="CJ10" s="205"/>
      <c r="CK10" s="205"/>
      <c r="CL10" s="205"/>
      <c r="CM10" s="205"/>
      <c r="CN10" s="205"/>
      <c r="CO10" s="205"/>
      <c r="CP10" s="205"/>
      <c r="CQ10" s="205"/>
      <c r="CR10" s="205"/>
      <c r="CS10" s="205"/>
      <c r="CT10" s="205"/>
      <c r="CU10" s="205"/>
      <c r="CV10" s="205"/>
      <c r="CW10" s="205"/>
      <c r="CX10" s="205"/>
      <c r="CY10" s="205"/>
      <c r="CZ10" s="205"/>
      <c r="DA10" s="205"/>
      <c r="DB10" s="205"/>
      <c r="DC10" s="205"/>
      <c r="DD10" s="205"/>
      <c r="DE10" s="205"/>
      <c r="DF10" s="205"/>
      <c r="DG10" s="205"/>
      <c r="DH10" s="205"/>
      <c r="DI10" s="205"/>
      <c r="DJ10" s="205"/>
      <c r="DK10" s="205"/>
      <c r="DL10" s="205"/>
      <c r="DM10" s="205"/>
      <c r="DN10" s="205"/>
      <c r="DO10" s="205"/>
      <c r="DP10" s="205"/>
      <c r="DQ10" s="205"/>
      <c r="DR10" s="205"/>
      <c r="DS10" s="205"/>
      <c r="DT10" s="205"/>
      <c r="DU10" s="205"/>
      <c r="DV10" s="205"/>
      <c r="DW10" s="205"/>
      <c r="DX10" s="205"/>
      <c r="DY10" s="205"/>
      <c r="DZ10" s="205"/>
      <c r="EA10" s="205"/>
      <c r="EB10" s="205"/>
      <c r="EC10" s="205"/>
      <c r="ED10" s="205"/>
      <c r="EE10" s="205"/>
      <c r="EF10" s="205"/>
      <c r="EG10" s="205"/>
      <c r="EH10" s="205"/>
      <c r="EI10" s="205"/>
      <c r="EJ10" s="205"/>
      <c r="EK10" s="205"/>
      <c r="EL10" s="205"/>
      <c r="EM10" s="205"/>
      <c r="EN10" s="205"/>
      <c r="EO10" s="205"/>
      <c r="EP10" s="205"/>
      <c r="EQ10" s="205"/>
      <c r="ER10" s="205"/>
      <c r="ES10" s="205"/>
      <c r="ET10" s="205"/>
      <c r="EU10" s="205"/>
      <c r="EV10" s="205"/>
      <c r="EW10" s="205"/>
      <c r="EX10" s="205"/>
      <c r="EY10" s="205"/>
      <c r="EZ10" s="205"/>
      <c r="FA10" s="205"/>
      <c r="FB10" s="205"/>
      <c r="FC10" s="205"/>
      <c r="FD10" s="205"/>
      <c r="FE10" s="205"/>
      <c r="FF10" s="205"/>
      <c r="FG10" s="205"/>
      <c r="FH10" s="205"/>
      <c r="FI10" s="205"/>
      <c r="FJ10" s="205"/>
      <c r="FK10" s="205"/>
      <c r="FL10" s="205"/>
      <c r="FM10" s="205"/>
      <c r="FN10" s="205"/>
      <c r="FO10" s="205"/>
      <c r="FP10" s="205"/>
      <c r="FQ10" s="205"/>
      <c r="FR10" s="205"/>
      <c r="FS10" s="205"/>
      <c r="FT10" s="205"/>
      <c r="FU10" s="205"/>
      <c r="FV10" s="205"/>
      <c r="FW10" s="205"/>
      <c r="FX10" s="205"/>
      <c r="FY10" s="205"/>
      <c r="FZ10" s="205"/>
      <c r="GA10" s="205"/>
      <c r="GB10" s="205"/>
      <c r="GC10" s="205"/>
      <c r="GD10" s="205"/>
      <c r="GE10" s="205"/>
      <c r="GF10" s="205"/>
      <c r="GG10" s="205"/>
      <c r="GH10" s="205"/>
      <c r="GI10" s="205"/>
      <c r="GJ10" s="205"/>
      <c r="GK10" s="205"/>
      <c r="GL10" s="205"/>
      <c r="GM10" s="205"/>
      <c r="GN10" s="205"/>
      <c r="GO10" s="205"/>
      <c r="GP10" s="205"/>
      <c r="GQ10" s="205"/>
      <c r="GR10" s="205"/>
      <c r="GS10" s="205"/>
      <c r="GT10" s="205"/>
      <c r="GU10" s="205"/>
      <c r="GV10" s="205"/>
      <c r="GW10" s="205"/>
      <c r="GX10" s="205"/>
      <c r="GY10" s="205"/>
      <c r="GZ10" s="205"/>
      <c r="HA10" s="205"/>
      <c r="HB10" s="205"/>
      <c r="HC10" s="205"/>
      <c r="HD10" s="205"/>
      <c r="HE10" s="205"/>
      <c r="HF10" s="205"/>
      <c r="HG10" s="205"/>
      <c r="HH10" s="205"/>
      <c r="HI10" s="205"/>
      <c r="HJ10" s="205"/>
      <c r="HK10" s="205"/>
      <c r="HL10" s="205"/>
      <c r="HM10" s="205"/>
      <c r="HN10" s="205"/>
      <c r="HO10" s="205"/>
      <c r="HP10" s="205"/>
      <c r="HQ10" s="205"/>
      <c r="HR10" s="205"/>
      <c r="HS10" s="205"/>
      <c r="HT10" s="205"/>
      <c r="HU10" s="205"/>
      <c r="HV10" s="205"/>
      <c r="HW10" s="205"/>
      <c r="HX10" s="205"/>
      <c r="HY10" s="205"/>
      <c r="HZ10" s="205"/>
      <c r="IA10" s="205"/>
      <c r="IB10" s="205"/>
      <c r="IC10" s="205"/>
      <c r="ID10" s="205"/>
      <c r="IE10" s="205"/>
      <c r="IF10" s="205"/>
      <c r="IG10" s="205"/>
      <c r="IH10" s="205"/>
      <c r="II10" s="205"/>
      <c r="IJ10" s="205"/>
      <c r="IK10" s="205"/>
      <c r="IL10" s="205"/>
      <c r="IM10" s="205"/>
      <c r="IN10" s="205"/>
      <c r="IO10" s="205"/>
      <c r="IP10" s="205"/>
      <c r="IQ10" s="205"/>
      <c r="IR10" s="205"/>
      <c r="IS10" s="205"/>
      <c r="IT10" s="205"/>
      <c r="IU10" s="205"/>
      <c r="IV10" s="205"/>
      <c r="IW10" s="205"/>
      <c r="IX10" s="205"/>
      <c r="IY10" s="205"/>
      <c r="IZ10" s="205"/>
      <c r="JA10" s="205"/>
      <c r="JB10" s="205"/>
      <c r="JC10" s="205"/>
      <c r="JD10" s="205"/>
      <c r="JE10" s="205"/>
      <c r="JF10" s="205"/>
      <c r="JG10" s="205"/>
      <c r="JH10" s="205"/>
      <c r="JI10" s="205"/>
      <c r="JJ10" s="205"/>
      <c r="JK10" s="205"/>
      <c r="JL10" s="205"/>
      <c r="JM10" s="205"/>
      <c r="JN10" s="205"/>
      <c r="JO10" s="205"/>
      <c r="JP10" s="205"/>
      <c r="JQ10" s="205"/>
      <c r="JR10" s="205"/>
      <c r="JS10" s="205"/>
      <c r="JT10" s="205"/>
      <c r="JU10" s="205"/>
      <c r="JV10" s="205"/>
      <c r="JW10" s="205"/>
      <c r="JX10" s="205"/>
      <c r="JY10" s="205"/>
      <c r="JZ10" s="205"/>
      <c r="KA10" s="205"/>
      <c r="KB10" s="205"/>
      <c r="KC10" s="205"/>
      <c r="KD10" s="205"/>
      <c r="KE10" s="205"/>
      <c r="KF10" s="205"/>
      <c r="KG10" s="205"/>
      <c r="KH10" s="205"/>
      <c r="KI10" s="205"/>
      <c r="KJ10" s="205"/>
      <c r="KK10" s="205"/>
      <c r="KL10" s="205"/>
      <c r="KM10" s="205"/>
      <c r="KN10" s="205"/>
      <c r="KO10" s="205"/>
      <c r="KP10" s="205"/>
      <c r="KQ10" s="205"/>
      <c r="KR10" s="205"/>
      <c r="KS10" s="205"/>
      <c r="KT10" s="205"/>
      <c r="KU10" s="205"/>
      <c r="KV10" s="205"/>
      <c r="KW10" s="205"/>
      <c r="KX10" s="205"/>
      <c r="KY10" s="205"/>
      <c r="KZ10" s="205"/>
      <c r="LA10" s="205"/>
      <c r="LB10" s="205"/>
      <c r="LC10" s="205"/>
      <c r="LD10" s="205"/>
      <c r="LE10" s="205"/>
      <c r="LF10" s="205"/>
      <c r="LG10" s="205"/>
      <c r="LH10" s="205"/>
      <c r="LI10" s="205"/>
      <c r="LJ10" s="205"/>
      <c r="LK10" s="205"/>
      <c r="LL10" s="205"/>
      <c r="LM10" s="205"/>
      <c r="LN10" s="205"/>
      <c r="LO10" s="205"/>
      <c r="LP10" s="205"/>
      <c r="LQ10" s="205"/>
      <c r="LR10" s="205"/>
      <c r="LS10" s="205"/>
      <c r="LT10" s="205"/>
      <c r="LU10" s="205"/>
      <c r="LV10" s="205"/>
      <c r="LW10" s="205"/>
      <c r="LX10" s="205"/>
      <c r="LY10" s="205"/>
      <c r="LZ10" s="205"/>
      <c r="MA10" s="205"/>
      <c r="MB10" s="205"/>
      <c r="MC10" s="205"/>
      <c r="MD10" s="205"/>
      <c r="ME10" s="205"/>
      <c r="MF10" s="205"/>
      <c r="MG10" s="205"/>
      <c r="MH10" s="205"/>
      <c r="MI10" s="205"/>
      <c r="MJ10" s="205"/>
      <c r="MK10" s="205"/>
      <c r="ML10" s="205"/>
      <c r="MM10" s="205"/>
      <c r="MN10" s="205"/>
      <c r="MO10" s="205"/>
      <c r="MP10" s="205"/>
      <c r="MQ10" s="205"/>
      <c r="MR10" s="205"/>
      <c r="MS10" s="205"/>
      <c r="MT10" s="205"/>
      <c r="MU10" s="205"/>
      <c r="MV10" s="220"/>
      <c r="MW10" s="205"/>
      <c r="MX10" s="205"/>
      <c r="MY10" s="205"/>
      <c r="MZ10" s="205"/>
      <c r="NA10" s="205"/>
      <c r="NB10" s="205"/>
      <c r="NC10" s="205"/>
      <c r="ND10" s="205"/>
      <c r="NE10" s="205"/>
      <c r="NF10" s="205"/>
      <c r="NG10" s="205"/>
      <c r="NH10" s="205"/>
      <c r="NI10" s="205"/>
      <c r="NJ10" s="205"/>
      <c r="NK10" s="205"/>
      <c r="NL10" s="205"/>
      <c r="NM10" s="205"/>
      <c r="NN10" s="205"/>
      <c r="NO10" s="205"/>
      <c r="NP10" s="205"/>
      <c r="NQ10" s="205"/>
      <c r="NR10" s="205"/>
      <c r="NS10" s="205"/>
      <c r="NT10" s="205"/>
      <c r="NU10" s="205"/>
      <c r="NV10" s="205"/>
      <c r="NW10" s="205"/>
      <c r="NX10" s="205"/>
      <c r="NY10" s="205"/>
      <c r="NZ10" s="205"/>
      <c r="OA10" s="205"/>
      <c r="OB10" s="205"/>
      <c r="OC10" s="205"/>
      <c r="OD10" s="205"/>
      <c r="OE10" s="205"/>
      <c r="OF10" s="205"/>
      <c r="OG10" s="205"/>
      <c r="OH10" s="205"/>
      <c r="OI10" s="205"/>
      <c r="OJ10" s="205"/>
      <c r="OK10" s="205"/>
      <c r="OL10" s="205"/>
      <c r="OM10" s="205"/>
      <c r="ON10" s="205"/>
      <c r="OO10" s="205"/>
      <c r="OP10" s="205"/>
      <c r="OQ10" s="205"/>
      <c r="OR10" s="205"/>
      <c r="OS10" s="205"/>
      <c r="OT10" s="205"/>
      <c r="OU10" s="205"/>
      <c r="OV10" s="205"/>
      <c r="OW10" s="205"/>
      <c r="OX10" s="205"/>
      <c r="OY10" s="205"/>
      <c r="OZ10" s="205"/>
      <c r="PA10" s="205"/>
      <c r="PB10" s="205"/>
      <c r="PC10" s="205"/>
      <c r="PD10" s="205"/>
      <c r="PE10" s="205"/>
      <c r="PF10" s="205"/>
      <c r="PG10" s="205"/>
      <c r="PH10" s="205"/>
      <c r="PI10" s="205"/>
      <c r="PJ10" s="205"/>
      <c r="PK10" s="205"/>
      <c r="PL10" s="205"/>
      <c r="PM10" s="205"/>
      <c r="PN10" s="205"/>
      <c r="PO10" s="205"/>
      <c r="PP10" s="205"/>
      <c r="PQ10" s="205"/>
      <c r="PR10" s="205"/>
      <c r="PS10" s="205"/>
      <c r="PT10" s="205"/>
      <c r="PU10" s="205"/>
      <c r="PV10" s="205"/>
      <c r="PW10" s="205"/>
      <c r="PX10" s="205"/>
      <c r="PY10" s="205"/>
      <c r="PZ10" s="205"/>
      <c r="QA10" s="205"/>
      <c r="QB10" s="205"/>
      <c r="QC10" s="205"/>
      <c r="QD10" s="205"/>
      <c r="QE10" s="205"/>
      <c r="QF10" s="205"/>
      <c r="QG10" s="205"/>
      <c r="QH10" s="205"/>
      <c r="QI10" s="205"/>
      <c r="QJ10" s="205"/>
      <c r="QK10" s="205"/>
      <c r="QL10" s="205"/>
      <c r="QM10" s="205"/>
      <c r="QN10" s="205"/>
      <c r="QO10" s="205"/>
      <c r="QP10" s="205"/>
      <c r="QQ10" s="205"/>
      <c r="QR10" s="205"/>
      <c r="QS10" s="205"/>
      <c r="QT10" s="205"/>
      <c r="QU10" s="205"/>
      <c r="QV10" s="205"/>
      <c r="QW10" s="205"/>
      <c r="QX10" s="205"/>
      <c r="QY10" s="205"/>
      <c r="QZ10" s="205"/>
      <c r="RA10" s="205"/>
      <c r="RB10" s="205"/>
      <c r="RC10" s="205"/>
      <c r="RD10" s="205"/>
      <c r="RE10" s="205"/>
      <c r="RF10" s="205"/>
      <c r="RG10" s="205"/>
      <c r="RH10" s="205"/>
      <c r="RI10" s="205"/>
      <c r="RJ10" s="205"/>
      <c r="RK10" s="205"/>
      <c r="RL10" s="205"/>
      <c r="RM10" s="205"/>
      <c r="RN10" s="205"/>
      <c r="RO10" s="205"/>
      <c r="RP10" s="205"/>
      <c r="RQ10" s="205"/>
      <c r="RR10" s="205"/>
      <c r="RS10" s="205"/>
      <c r="RT10" s="205"/>
      <c r="RU10" s="205"/>
      <c r="RV10" s="205"/>
      <c r="RW10" s="205"/>
      <c r="RX10" s="205"/>
      <c r="RY10" s="205"/>
      <c r="RZ10" s="205"/>
      <c r="SA10" s="205"/>
      <c r="SB10" s="205"/>
      <c r="SC10" s="205"/>
      <c r="SD10" s="205"/>
      <c r="SE10" s="205"/>
      <c r="SF10" s="205"/>
      <c r="SG10" s="205"/>
      <c r="SH10" s="205"/>
      <c r="SI10" s="205"/>
      <c r="SJ10" s="205"/>
      <c r="SK10" s="205"/>
      <c r="SL10" s="205"/>
      <c r="SM10" s="205"/>
      <c r="SN10" s="205"/>
      <c r="SO10" s="205"/>
      <c r="SP10" s="205"/>
      <c r="SQ10" s="205"/>
      <c r="SR10" s="205"/>
      <c r="SS10" s="205"/>
      <c r="ST10" s="205"/>
      <c r="SU10" s="205"/>
      <c r="SV10" s="205"/>
      <c r="SW10" s="205"/>
      <c r="SX10" s="205"/>
      <c r="SY10" s="205"/>
      <c r="SZ10" s="205"/>
      <c r="TA10" s="205"/>
      <c r="TB10" s="205"/>
      <c r="TC10" s="205"/>
      <c r="TD10" s="205"/>
      <c r="TE10" s="205"/>
      <c r="TF10" s="205"/>
      <c r="TG10" s="205"/>
      <c r="TH10" s="205"/>
      <c r="TI10" s="205"/>
      <c r="TJ10" s="205"/>
      <c r="TK10" s="205"/>
      <c r="TL10" s="205"/>
      <c r="TM10" s="205"/>
      <c r="TN10" s="205"/>
      <c r="TO10" s="205"/>
      <c r="TP10" s="205"/>
      <c r="TQ10" s="205"/>
      <c r="TR10" s="205"/>
      <c r="TS10" s="205"/>
      <c r="TT10" s="205"/>
      <c r="TU10" s="205"/>
      <c r="TV10" s="205"/>
      <c r="TW10" s="205"/>
      <c r="TX10" s="205"/>
      <c r="TY10" s="205"/>
      <c r="TZ10" s="205"/>
      <c r="UA10" s="205"/>
      <c r="UB10" s="205"/>
      <c r="UC10" s="205"/>
      <c r="UD10" s="205"/>
      <c r="UE10" s="205"/>
      <c r="UF10" s="205"/>
      <c r="UG10" s="205"/>
      <c r="UH10" s="205"/>
      <c r="UI10" s="205"/>
      <c r="UJ10" s="205"/>
      <c r="UK10" s="205"/>
      <c r="UL10" s="205"/>
      <c r="UM10" s="205"/>
      <c r="UN10" s="205"/>
      <c r="UO10" s="205"/>
      <c r="UP10" s="205"/>
      <c r="UQ10" s="205"/>
      <c r="UR10" s="205"/>
      <c r="US10" s="205"/>
      <c r="UT10" s="205"/>
      <c r="UU10" s="205"/>
      <c r="UV10" s="205"/>
      <c r="UW10" s="205"/>
      <c r="UX10" s="205"/>
      <c r="UY10" s="205"/>
      <c r="UZ10" s="205"/>
      <c r="VA10" s="205"/>
      <c r="VB10" s="205"/>
      <c r="VC10" s="205"/>
      <c r="VD10" s="205"/>
      <c r="VE10" s="205"/>
      <c r="VF10" s="205"/>
      <c r="VG10" s="205"/>
      <c r="VH10" s="205"/>
      <c r="VI10" s="205"/>
      <c r="VJ10" s="205"/>
      <c r="VK10" s="205"/>
      <c r="VL10" s="205"/>
      <c r="VM10" s="205"/>
      <c r="VN10" s="205"/>
      <c r="VO10" s="205"/>
      <c r="VP10" s="205"/>
      <c r="VQ10" s="205"/>
      <c r="VR10" s="205"/>
      <c r="VS10" s="205"/>
      <c r="VT10" s="205"/>
      <c r="VU10" s="205"/>
      <c r="VV10" s="205"/>
      <c r="VW10" s="205"/>
      <c r="VX10" s="205"/>
      <c r="VY10" s="205"/>
      <c r="VZ10" s="205"/>
      <c r="WA10" s="205"/>
      <c r="WB10" s="205"/>
      <c r="WC10" s="205"/>
      <c r="WD10" s="205"/>
      <c r="WE10" s="205"/>
      <c r="WF10" s="205"/>
      <c r="WG10" s="205"/>
      <c r="WH10" s="205"/>
      <c r="WI10" s="205"/>
      <c r="WJ10" s="205"/>
      <c r="WK10" s="205"/>
      <c r="WL10" s="205"/>
      <c r="WM10" s="205"/>
      <c r="WN10" s="205"/>
      <c r="WO10" s="205"/>
      <c r="WP10" s="205"/>
      <c r="WQ10" s="205"/>
      <c r="WR10" s="205"/>
      <c r="WS10" s="205"/>
      <c r="WT10" s="205"/>
      <c r="WU10" s="205"/>
      <c r="WV10" s="205"/>
      <c r="WW10" s="205"/>
      <c r="WX10" s="205"/>
      <c r="WY10" s="205"/>
      <c r="WZ10" s="205"/>
      <c r="XA10" s="205"/>
      <c r="XB10" s="205"/>
      <c r="XC10" s="205"/>
      <c r="XD10" s="205"/>
      <c r="XE10" s="205"/>
      <c r="XF10" s="205"/>
      <c r="XG10" s="205"/>
      <c r="XH10" s="205"/>
      <c r="XI10" s="205"/>
      <c r="XJ10" s="205"/>
      <c r="XK10" s="205"/>
      <c r="XL10" s="205"/>
      <c r="XM10" s="205"/>
      <c r="XN10" s="205"/>
      <c r="XO10" s="205"/>
      <c r="XP10" s="205"/>
      <c r="XQ10" s="205"/>
      <c r="XR10" s="205"/>
      <c r="XS10" s="205"/>
      <c r="XT10" s="205"/>
      <c r="XU10" s="205"/>
      <c r="XV10" s="205"/>
      <c r="XW10" s="205"/>
      <c r="XX10" s="205"/>
      <c r="XY10" s="205"/>
      <c r="XZ10" s="205"/>
      <c r="YA10" s="205"/>
      <c r="YB10" s="205"/>
      <c r="YC10" s="205"/>
      <c r="YD10" s="205"/>
      <c r="YE10" s="205"/>
      <c r="YF10" s="205"/>
      <c r="YG10" s="205"/>
      <c r="YH10" s="205"/>
      <c r="YI10" s="205"/>
      <c r="YJ10" s="205"/>
      <c r="YK10" s="205"/>
      <c r="YL10" s="205"/>
      <c r="YM10" s="205"/>
      <c r="YN10" s="205"/>
      <c r="YO10" s="205"/>
      <c r="YP10" s="205"/>
      <c r="YQ10" s="205"/>
      <c r="YR10" s="205"/>
      <c r="YS10" s="205"/>
      <c r="YT10" s="205"/>
      <c r="YU10" s="205"/>
      <c r="YV10" s="205"/>
      <c r="YW10" s="205"/>
      <c r="YX10" s="205"/>
      <c r="YY10" s="205"/>
      <c r="YZ10" s="205"/>
      <c r="ZA10" s="205"/>
      <c r="ZB10" s="205"/>
      <c r="ZC10" s="205"/>
      <c r="ZD10" s="205"/>
      <c r="ZE10" s="205"/>
      <c r="ZF10" s="205"/>
      <c r="ZG10" s="205"/>
      <c r="ZH10" s="205"/>
      <c r="ZI10" s="205"/>
      <c r="ZJ10" s="205"/>
      <c r="ZK10" s="205"/>
      <c r="ZL10" s="205"/>
      <c r="ZM10" s="205"/>
      <c r="ZN10" s="205"/>
      <c r="ZO10" s="205"/>
      <c r="ZP10" s="205"/>
      <c r="ZQ10" s="205"/>
      <c r="ZR10" s="205"/>
      <c r="ZS10" s="205"/>
      <c r="ZT10" s="205"/>
      <c r="ZU10" s="205"/>
      <c r="ZV10" s="205"/>
      <c r="ZW10" s="205"/>
      <c r="ZX10" s="205"/>
      <c r="ZY10" s="205"/>
      <c r="ZZ10" s="205"/>
      <c r="AAA10" s="205"/>
      <c r="AAB10" s="205"/>
      <c r="AAC10" s="205"/>
      <c r="AAD10" s="205"/>
      <c r="AAE10" s="205"/>
      <c r="AAF10" s="205"/>
      <c r="AAG10" s="205"/>
      <c r="AAH10" s="205"/>
      <c r="AAI10" s="205"/>
      <c r="AAJ10" s="205"/>
      <c r="AAK10" s="205"/>
      <c r="AAL10" s="205"/>
      <c r="AAM10" s="205"/>
      <c r="AAN10" s="205"/>
      <c r="AAO10" s="205"/>
      <c r="AAP10" s="205"/>
      <c r="AAQ10" s="205"/>
      <c r="AAR10" s="205"/>
      <c r="AAS10" s="205"/>
      <c r="AAT10" s="205"/>
      <c r="AAU10" s="205"/>
      <c r="AAV10" s="205"/>
      <c r="AAW10" s="205"/>
      <c r="AAX10" s="205"/>
      <c r="AAY10" s="205"/>
      <c r="AAZ10" s="205"/>
      <c r="ABA10" s="205"/>
      <c r="ABB10" s="205"/>
      <c r="ABC10" s="205"/>
      <c r="ABD10" s="205"/>
      <c r="ABE10" s="205"/>
      <c r="ABF10" s="205"/>
      <c r="ABG10" s="205"/>
      <c r="ABH10" s="205"/>
      <c r="ABI10" s="205"/>
      <c r="ABJ10" s="205"/>
      <c r="ABK10" s="205"/>
      <c r="ABL10" s="205"/>
      <c r="ABM10" s="205"/>
      <c r="ABN10" s="205"/>
      <c r="ABO10" s="205"/>
      <c r="ABP10" s="205"/>
      <c r="ABQ10" s="205"/>
      <c r="ABR10" s="205"/>
      <c r="ABS10" s="205"/>
      <c r="ABT10" s="205"/>
      <c r="ABU10" s="205"/>
      <c r="ABV10" s="205"/>
      <c r="ABW10" s="205"/>
      <c r="ABX10" s="205"/>
      <c r="ABY10" s="205"/>
      <c r="ABZ10" s="205"/>
      <c r="ACA10" s="205"/>
      <c r="ACB10" s="205"/>
      <c r="ACC10" s="205"/>
      <c r="ACD10" s="205"/>
      <c r="ACE10" s="205"/>
      <c r="ACF10" s="205"/>
      <c r="ACG10" s="205"/>
      <c r="ACH10" s="205"/>
      <c r="ACI10" s="205"/>
      <c r="ACJ10" s="205"/>
      <c r="ACK10" s="205"/>
      <c r="ACL10" s="205"/>
      <c r="ACM10" s="205"/>
      <c r="ACN10" s="205"/>
      <c r="ACO10" s="205"/>
      <c r="ACP10" s="205"/>
      <c r="ACQ10" s="205"/>
      <c r="ACR10" s="205"/>
      <c r="ACS10" s="205"/>
      <c r="ACT10" s="205"/>
      <c r="ACU10" s="205"/>
      <c r="ACV10" s="205"/>
      <c r="ACW10" s="205"/>
      <c r="ACX10" s="205"/>
      <c r="ACY10" s="205"/>
      <c r="ACZ10" s="205"/>
      <c r="ADA10" s="205"/>
      <c r="ADB10" s="205"/>
      <c r="ADC10" s="205"/>
      <c r="ADD10" s="205"/>
      <c r="ADE10" s="205"/>
      <c r="ADF10" s="205"/>
      <c r="ADG10" s="205"/>
      <c r="ADH10" s="205"/>
      <c r="ADI10" s="205"/>
      <c r="ADJ10" s="205"/>
      <c r="ADK10" s="205"/>
      <c r="ADL10" s="205"/>
      <c r="ADM10" s="205"/>
      <c r="ADN10" s="205"/>
      <c r="ADO10" s="205"/>
      <c r="ADP10" s="205"/>
      <c r="ADQ10" s="205"/>
      <c r="ADR10" s="205"/>
      <c r="ADS10" s="205"/>
      <c r="ADT10" s="205"/>
      <c r="ADU10" s="205"/>
      <c r="ADV10" s="205"/>
      <c r="ADW10" s="205"/>
      <c r="ADX10" s="205"/>
      <c r="ADY10" s="205"/>
      <c r="ADZ10" s="205"/>
      <c r="AEA10" s="205"/>
      <c r="AEB10" s="205"/>
      <c r="AEC10" s="205"/>
      <c r="AED10" s="205"/>
      <c r="AEE10" s="205"/>
      <c r="AEF10" s="205"/>
      <c r="AEG10" s="205"/>
      <c r="AEH10" s="205"/>
      <c r="AEI10" s="205"/>
      <c r="AEJ10" s="205"/>
      <c r="AEK10" s="205"/>
      <c r="AEL10" s="205"/>
      <c r="AEM10" s="205"/>
      <c r="AEN10" s="205"/>
      <c r="AEO10" s="205"/>
      <c r="AEP10" s="205"/>
      <c r="AEQ10" s="205"/>
      <c r="AER10" s="205"/>
      <c r="AES10" s="205"/>
      <c r="AET10" s="205"/>
      <c r="AEU10" s="205"/>
      <c r="AEV10" s="205"/>
      <c r="AEW10" s="205"/>
      <c r="AEX10" s="205"/>
      <c r="AEY10" s="205"/>
      <c r="AEZ10" s="205"/>
      <c r="AFA10" s="205"/>
      <c r="AFB10" s="205"/>
      <c r="AFC10" s="205"/>
      <c r="AFD10" s="205"/>
      <c r="AFE10" s="205"/>
      <c r="AFF10" s="205"/>
      <c r="AFG10" s="205"/>
      <c r="AFH10" s="205"/>
      <c r="AFI10" s="205"/>
      <c r="AFJ10" s="205"/>
      <c r="AFK10" s="205"/>
      <c r="AFL10" s="205"/>
      <c r="AFM10" s="205"/>
      <c r="AFN10" s="205"/>
      <c r="AFO10" s="205"/>
      <c r="AFP10" s="205"/>
      <c r="AFQ10" s="205"/>
      <c r="AFR10" s="205"/>
      <c r="AFS10" s="205"/>
      <c r="AFT10" s="205"/>
      <c r="AFU10" s="205"/>
      <c r="AFV10" s="205"/>
      <c r="AFW10" s="205"/>
      <c r="AFX10" s="205"/>
      <c r="AFY10" s="205"/>
      <c r="AFZ10" s="205"/>
      <c r="AGA10" s="205"/>
      <c r="AGB10" s="205"/>
      <c r="AGC10" s="205"/>
      <c r="AGD10" s="205"/>
      <c r="AGE10" s="205"/>
      <c r="AGF10" s="205"/>
      <c r="AGG10" s="205"/>
      <c r="AGH10" s="205"/>
      <c r="AGI10" s="205"/>
      <c r="AGJ10" s="205"/>
      <c r="AGK10" s="205"/>
      <c r="AGL10" s="205"/>
      <c r="AGM10" s="205"/>
      <c r="AGN10" s="205"/>
      <c r="AGO10" s="205"/>
      <c r="AGP10" s="205"/>
      <c r="AGQ10" s="205"/>
      <c r="AGR10" s="205"/>
      <c r="AGS10" s="205"/>
      <c r="AGT10" s="205"/>
      <c r="AGU10" s="205"/>
      <c r="AGV10" s="205"/>
      <c r="AGW10" s="205"/>
      <c r="AGX10" s="205"/>
      <c r="AGY10" s="205"/>
      <c r="AGZ10" s="205"/>
      <c r="AHA10" s="205"/>
      <c r="AHB10" s="205"/>
      <c r="AHC10" s="205"/>
      <c r="AHD10" s="205"/>
      <c r="AHE10" s="205"/>
      <c r="AHF10" s="205"/>
      <c r="AHG10" s="205"/>
      <c r="AHH10" s="205"/>
      <c r="AHI10" s="205"/>
      <c r="AHJ10" s="205"/>
      <c r="AHK10" s="205"/>
      <c r="AHL10" s="205"/>
      <c r="AHM10" s="205"/>
      <c r="AHN10" s="205"/>
      <c r="AHO10" s="205"/>
      <c r="AHP10" s="205"/>
      <c r="AHQ10" s="205"/>
      <c r="AHR10" s="205"/>
      <c r="AHS10" s="205"/>
      <c r="AHT10" s="205"/>
      <c r="AHU10" s="205"/>
      <c r="AHV10" s="205"/>
      <c r="AHW10" s="205"/>
      <c r="AHX10" s="205"/>
      <c r="AHY10" s="205"/>
      <c r="AHZ10" s="205"/>
      <c r="AIA10" s="205"/>
      <c r="AIB10" s="205"/>
      <c r="AIC10" s="205"/>
      <c r="AID10" s="205"/>
      <c r="AIE10" s="205"/>
      <c r="AIF10" s="205"/>
      <c r="AIG10" s="205"/>
      <c r="AIH10" s="205"/>
      <c r="AII10" s="205"/>
      <c r="AIJ10" s="205"/>
      <c r="AIK10" s="205"/>
      <c r="AIL10" s="205"/>
      <c r="AIM10" s="205"/>
      <c r="AIN10" s="205"/>
      <c r="AIO10" s="205"/>
      <c r="AIP10" s="205"/>
      <c r="AIQ10" s="205"/>
      <c r="AIR10" s="205"/>
      <c r="AIS10" s="205"/>
      <c r="AIT10" s="205"/>
      <c r="AIU10" s="205"/>
      <c r="AIV10" s="205"/>
      <c r="AIW10" s="205"/>
      <c r="AIX10" s="205"/>
      <c r="AIY10" s="205"/>
      <c r="AIZ10" s="205"/>
      <c r="AJA10" s="205"/>
      <c r="AJB10" s="205"/>
      <c r="AJC10" s="205"/>
      <c r="AJD10" s="205"/>
      <c r="AJE10" s="205"/>
      <c r="AJF10" s="205"/>
      <c r="AJG10" s="205"/>
      <c r="AJH10" s="205"/>
      <c r="AJI10" s="205"/>
      <c r="AJJ10" s="205"/>
      <c r="AJK10" s="205"/>
      <c r="AJL10" s="205"/>
      <c r="AJM10" s="205"/>
      <c r="AJN10" s="205"/>
      <c r="AJO10" s="205"/>
      <c r="AJP10" s="205"/>
      <c r="AJQ10" s="205"/>
      <c r="AJR10" s="205"/>
      <c r="AJS10" s="205"/>
      <c r="AJT10" s="205"/>
      <c r="AJU10" s="205"/>
      <c r="AJV10" s="205"/>
      <c r="AJW10" s="205"/>
      <c r="AJX10" s="205"/>
      <c r="AJY10" s="205"/>
      <c r="AJZ10" s="205"/>
      <c r="AKA10" s="205"/>
      <c r="AKB10" s="205"/>
      <c r="AKC10" s="205"/>
      <c r="AKD10" s="205"/>
      <c r="AKE10" s="205"/>
      <c r="AKF10" s="205"/>
      <c r="AKG10" s="205"/>
      <c r="AKH10" s="205"/>
      <c r="AKI10" s="205"/>
      <c r="AKJ10" s="205"/>
      <c r="AKK10" s="205"/>
      <c r="AKL10" s="205"/>
      <c r="AKM10" s="205"/>
      <c r="AKN10" s="205"/>
      <c r="AKO10" s="205"/>
      <c r="AKP10" s="205"/>
      <c r="AKQ10" s="205"/>
      <c r="AKR10" s="205"/>
      <c r="AKS10" s="205"/>
      <c r="AKT10" s="205"/>
      <c r="AKU10" s="205"/>
      <c r="AKV10" s="205"/>
      <c r="AKW10" s="205"/>
      <c r="AKX10" s="205"/>
      <c r="AKY10" s="205"/>
      <c r="AKZ10" s="205"/>
      <c r="ALA10" s="205"/>
      <c r="ALB10" s="205"/>
      <c r="ALC10" s="205"/>
      <c r="ALD10" s="205"/>
      <c r="ALE10" s="205"/>
      <c r="ALF10" s="205"/>
      <c r="ALG10" s="205"/>
      <c r="ALH10" s="205"/>
      <c r="ALI10" s="205"/>
      <c r="ALJ10" s="205"/>
      <c r="ALK10" s="205"/>
      <c r="ALL10" s="205"/>
      <c r="ALM10" s="205"/>
      <c r="ALN10" s="205"/>
      <c r="ALO10" s="205"/>
      <c r="ALP10" s="205"/>
      <c r="ALQ10" s="205"/>
      <c r="ALR10" s="205"/>
      <c r="ALS10" s="205"/>
      <c r="ALT10" s="205"/>
      <c r="ALU10" s="205"/>
      <c r="ALV10" s="205"/>
      <c r="ALW10" s="205"/>
      <c r="ALX10" s="205"/>
      <c r="ALY10" s="205"/>
      <c r="ALZ10" s="205"/>
      <c r="AMA10" s="205"/>
      <c r="AMB10" s="205"/>
      <c r="AMC10" s="205"/>
      <c r="AMD10" s="205"/>
      <c r="AME10" s="205"/>
      <c r="AMF10" s="205"/>
      <c r="AMG10" s="205"/>
      <c r="AMH10" s="205"/>
      <c r="AMI10" s="205"/>
      <c r="AMJ10" s="205"/>
      <c r="AMK10" s="205"/>
      <c r="AML10" s="205"/>
      <c r="AMM10" s="205"/>
      <c r="AMN10" s="205"/>
      <c r="AMO10" s="205"/>
      <c r="AMP10" s="205"/>
      <c r="AMQ10" s="205"/>
      <c r="AMR10" s="205"/>
      <c r="AMS10" s="205"/>
      <c r="AMT10" s="205"/>
      <c r="AMU10" s="205"/>
      <c r="AMV10" s="205"/>
      <c r="AMW10" s="205"/>
      <c r="AMX10" s="205"/>
      <c r="AMY10" s="205"/>
      <c r="AMZ10" s="205"/>
      <c r="ANA10" s="205"/>
      <c r="ANB10" s="205"/>
      <c r="ANC10" s="205"/>
      <c r="AND10" s="205"/>
      <c r="ANE10" s="205"/>
      <c r="ANF10" s="205"/>
      <c r="ANG10" s="205"/>
      <c r="ANH10" s="205"/>
      <c r="ANI10" s="205"/>
      <c r="ANJ10" s="205"/>
      <c r="ANK10" s="205"/>
      <c r="ANL10" s="205"/>
      <c r="ANM10" s="205"/>
      <c r="ANN10" s="205"/>
      <c r="ANO10" s="205"/>
      <c r="ANP10" s="205"/>
      <c r="ANQ10" s="205"/>
      <c r="ANR10" s="205"/>
      <c r="ANS10" s="205"/>
      <c r="ANT10" s="205"/>
      <c r="ANU10" s="205"/>
      <c r="ANV10" s="205"/>
      <c r="ANW10" s="205"/>
      <c r="ANX10" s="205"/>
      <c r="ANY10" s="205"/>
      <c r="ANZ10" s="205"/>
      <c r="AOA10" s="205"/>
      <c r="AOB10" s="205"/>
      <c r="AOC10" s="205"/>
      <c r="AOD10" s="205"/>
      <c r="AOE10" s="205"/>
      <c r="AOF10" s="205"/>
      <c r="AOG10" s="205"/>
      <c r="AOH10" s="205"/>
      <c r="AOI10" s="205"/>
      <c r="AOJ10" s="205"/>
      <c r="AOK10" s="205"/>
      <c r="AOL10" s="205"/>
      <c r="AOM10" s="205"/>
      <c r="AON10" s="205"/>
      <c r="AOO10" s="205"/>
      <c r="AOP10" s="205"/>
      <c r="AOQ10" s="205"/>
      <c r="AOR10" s="205"/>
      <c r="AOS10" s="205"/>
      <c r="AOT10" s="205"/>
      <c r="AOU10" s="205"/>
      <c r="AOV10" s="205"/>
      <c r="AOW10" s="205"/>
      <c r="AOX10" s="205"/>
      <c r="AOY10" s="205"/>
      <c r="AOZ10" s="205"/>
      <c r="APA10" s="205"/>
      <c r="APB10" s="205"/>
      <c r="APC10" s="205"/>
      <c r="APD10" s="205"/>
      <c r="APE10" s="205"/>
      <c r="APF10" s="205"/>
      <c r="APG10" s="205"/>
      <c r="APH10" s="205"/>
      <c r="API10" s="205"/>
      <c r="APJ10" s="205"/>
      <c r="APK10" s="205"/>
      <c r="APL10" s="205"/>
      <c r="APM10" s="205"/>
      <c r="APN10" s="205"/>
      <c r="APO10" s="205"/>
      <c r="APP10" s="205"/>
      <c r="APQ10" s="205"/>
      <c r="APR10" s="205"/>
      <c r="APS10" s="205"/>
      <c r="APT10" s="205"/>
      <c r="APU10" s="205"/>
      <c r="APV10" s="205"/>
      <c r="APW10" s="205"/>
      <c r="APX10" s="205"/>
      <c r="APY10" s="205"/>
      <c r="APZ10" s="205"/>
      <c r="AQA10" s="205"/>
      <c r="AQB10" s="205"/>
      <c r="AQC10" s="205"/>
      <c r="AQD10" s="205"/>
      <c r="AQE10" s="205"/>
      <c r="AQF10" s="205"/>
      <c r="AQG10" s="205"/>
      <c r="AQH10" s="205"/>
      <c r="AQI10" s="205"/>
      <c r="AQJ10" s="205"/>
      <c r="AQK10" s="205"/>
      <c r="AQL10" s="205"/>
      <c r="AQM10" s="205"/>
      <c r="AQN10" s="205"/>
      <c r="AQO10" s="205"/>
      <c r="AQP10" s="205"/>
      <c r="AQQ10" s="205"/>
      <c r="AQR10" s="205"/>
      <c r="AQS10" s="205"/>
      <c r="AQT10" s="205"/>
      <c r="AQU10" s="205"/>
      <c r="AQV10" s="205"/>
      <c r="AQW10" s="205"/>
      <c r="AQX10" s="205"/>
      <c r="AQY10" s="205"/>
      <c r="AQZ10" s="205"/>
      <c r="ARA10" s="205"/>
      <c r="ARB10" s="205"/>
      <c r="ARC10" s="205"/>
      <c r="ARD10" s="205"/>
      <c r="ARE10" s="205"/>
      <c r="ARF10" s="205"/>
      <c r="ARG10" s="205"/>
      <c r="ARH10" s="205"/>
      <c r="ARI10" s="205"/>
      <c r="ARJ10" s="205"/>
      <c r="ARK10" s="205"/>
      <c r="ARL10" s="205"/>
      <c r="ARM10" s="205"/>
      <c r="ARN10" s="205"/>
      <c r="ARO10" s="205"/>
      <c r="ARP10" s="205"/>
      <c r="ARQ10" s="205"/>
      <c r="ARR10" s="205"/>
      <c r="ARS10" s="205"/>
      <c r="ART10" s="205"/>
      <c r="ARU10" s="205"/>
      <c r="ARV10" s="205"/>
      <c r="ARW10" s="205"/>
      <c r="ARX10" s="205"/>
      <c r="ARY10" s="205"/>
      <c r="ARZ10" s="205"/>
      <c r="ASA10" s="205"/>
      <c r="ASB10" s="205"/>
      <c r="ASC10" s="205"/>
      <c r="ASD10" s="205"/>
      <c r="ASE10" s="205"/>
      <c r="ASF10" s="205"/>
      <c r="ASG10" s="205"/>
      <c r="ASH10" s="205"/>
      <c r="ASI10" s="205"/>
      <c r="ASJ10" s="205"/>
      <c r="ASK10" s="205"/>
      <c r="ASL10" s="205"/>
      <c r="ASM10" s="205"/>
      <c r="ASN10" s="205"/>
      <c r="ASO10" s="205"/>
      <c r="ASP10" s="205"/>
      <c r="ASQ10" s="205"/>
      <c r="ASR10" s="205"/>
      <c r="ASS10" s="205"/>
      <c r="AST10" s="205"/>
      <c r="ASU10" s="205"/>
      <c r="ASV10" s="205"/>
      <c r="ASW10" s="205"/>
      <c r="ASX10" s="205"/>
      <c r="ASY10" s="205"/>
      <c r="ASZ10" s="205"/>
      <c r="ATA10" s="205"/>
      <c r="ATB10" s="205"/>
      <c r="ATC10" s="205"/>
      <c r="ATD10" s="205"/>
      <c r="ATE10" s="205"/>
      <c r="ATF10" s="205"/>
      <c r="ATG10" s="205"/>
      <c r="ATH10" s="205"/>
      <c r="ATI10" s="205"/>
      <c r="ATJ10" s="205"/>
      <c r="ATK10" s="205"/>
      <c r="ATL10" s="205"/>
      <c r="ATM10" s="205"/>
      <c r="ATN10" s="205"/>
      <c r="ATO10" s="205"/>
      <c r="ATP10" s="205"/>
      <c r="ATQ10" s="205"/>
      <c r="ATR10" s="205"/>
      <c r="ATS10" s="205"/>
      <c r="ATT10" s="205"/>
      <c r="ATU10" s="205"/>
      <c r="ATV10" s="205"/>
      <c r="ATW10" s="205"/>
      <c r="ATX10" s="205"/>
      <c r="ATY10" s="205"/>
      <c r="ATZ10" s="205"/>
      <c r="AUA10" s="205"/>
      <c r="AUB10" s="205"/>
      <c r="AUC10" s="205"/>
      <c r="AUD10" s="205"/>
      <c r="AUE10" s="205"/>
      <c r="AUF10" s="205"/>
      <c r="AUG10" s="205"/>
      <c r="AUH10" s="205"/>
      <c r="AUI10" s="205"/>
      <c r="AUJ10" s="205"/>
      <c r="AUK10" s="205"/>
      <c r="AUL10" s="205"/>
      <c r="AUM10" s="205"/>
      <c r="AUN10" s="205"/>
      <c r="AUO10" s="205"/>
      <c r="AUP10" s="205"/>
      <c r="AUQ10" s="205"/>
      <c r="AUR10" s="205"/>
      <c r="AUS10" s="205"/>
      <c r="AUT10" s="205"/>
      <c r="AUU10" s="205"/>
      <c r="AUV10" s="205"/>
      <c r="AUW10" s="205"/>
      <c r="AUX10" s="205"/>
      <c r="AUY10" s="205"/>
      <c r="AUZ10" s="205"/>
      <c r="AVA10" s="205"/>
      <c r="AVB10" s="205"/>
      <c r="AVC10" s="205"/>
      <c r="AVD10" s="205"/>
      <c r="AVE10" s="205"/>
      <c r="AVF10" s="205"/>
      <c r="AVG10" s="205"/>
      <c r="AVH10" s="205"/>
      <c r="AVI10" s="205"/>
      <c r="AVJ10" s="205"/>
      <c r="AVK10" s="205"/>
      <c r="AVL10" s="205"/>
      <c r="AVM10" s="205"/>
      <c r="AVN10" s="205"/>
      <c r="AVO10" s="205"/>
      <c r="AVP10" s="205"/>
      <c r="AVQ10" s="205"/>
      <c r="AVR10" s="205"/>
      <c r="AVS10" s="205"/>
      <c r="AVT10" s="205"/>
      <c r="AVU10" s="205"/>
      <c r="AVV10" s="205"/>
      <c r="AVW10" s="205"/>
      <c r="AVX10" s="205"/>
      <c r="AVY10" s="205"/>
      <c r="AVZ10" s="205"/>
      <c r="AWA10" s="205"/>
      <c r="AWB10" s="205"/>
      <c r="AWC10" s="205"/>
      <c r="AWD10" s="205"/>
      <c r="AWE10" s="205"/>
      <c r="AWF10" s="205"/>
      <c r="AWG10" s="205"/>
      <c r="AWH10" s="205"/>
      <c r="AWI10" s="205"/>
      <c r="AWJ10" s="205"/>
      <c r="AWK10" s="205"/>
      <c r="AWL10" s="205"/>
      <c r="AWM10" s="205"/>
      <c r="AWN10" s="205"/>
      <c r="AWO10" s="205"/>
      <c r="AWP10" s="205"/>
      <c r="AWQ10" s="205"/>
      <c r="AWR10" s="205"/>
      <c r="AWS10" s="205"/>
      <c r="AWT10" s="205"/>
      <c r="AWU10" s="205"/>
      <c r="AWV10" s="205"/>
      <c r="AWW10" s="205"/>
      <c r="AWX10" s="205"/>
      <c r="AWY10" s="205"/>
      <c r="AWZ10" s="205"/>
      <c r="AXA10" s="205"/>
      <c r="AXB10" s="205"/>
      <c r="AXC10" s="205"/>
      <c r="AXD10" s="205"/>
      <c r="AXE10" s="205"/>
      <c r="AXF10" s="205"/>
      <c r="AXG10" s="205"/>
      <c r="AXH10" s="205"/>
      <c r="AXI10" s="205"/>
      <c r="AXJ10" s="205"/>
      <c r="AXK10" s="205"/>
      <c r="AXL10" s="205"/>
      <c r="AXM10" s="205"/>
      <c r="AXN10" s="205"/>
      <c r="AXO10" s="205"/>
      <c r="AXP10" s="205"/>
      <c r="AXQ10" s="205"/>
      <c r="AXR10" s="205"/>
      <c r="AXS10" s="205"/>
      <c r="AXT10" s="205"/>
      <c r="AXU10" s="205"/>
      <c r="AXV10" s="205"/>
      <c r="AXW10" s="205"/>
      <c r="AXX10" s="205"/>
      <c r="AXY10" s="205"/>
      <c r="AXZ10" s="205"/>
      <c r="AYA10" s="205"/>
      <c r="AYB10" s="205"/>
      <c r="AYC10" s="205"/>
      <c r="AYD10" s="205"/>
      <c r="AYE10" s="205"/>
      <c r="AYF10" s="205"/>
      <c r="AYG10" s="205"/>
      <c r="AYH10" s="205"/>
      <c r="AYI10" s="205"/>
      <c r="AYJ10" s="205"/>
      <c r="AYK10" s="205"/>
      <c r="AYL10" s="205"/>
      <c r="AYM10" s="205"/>
      <c r="AYN10" s="205"/>
      <c r="AYO10" s="205"/>
      <c r="AYP10" s="205"/>
      <c r="AYQ10" s="205"/>
      <c r="AYR10" s="205"/>
      <c r="AYS10" s="205"/>
      <c r="AYT10" s="205"/>
      <c r="AYU10" s="205"/>
      <c r="AYV10" s="205"/>
      <c r="AYW10" s="205"/>
      <c r="AYX10" s="205"/>
      <c r="AYY10" s="205"/>
      <c r="AYZ10" s="205"/>
      <c r="AZA10" s="205"/>
      <c r="AZB10" s="205"/>
      <c r="AZC10" s="205"/>
      <c r="AZD10" s="205"/>
      <c r="AZE10" s="205"/>
      <c r="AZF10" s="205"/>
      <c r="AZG10" s="205"/>
      <c r="AZH10" s="205"/>
      <c r="AZI10" s="205"/>
      <c r="AZJ10" s="205"/>
      <c r="AZK10" s="205"/>
      <c r="AZL10" s="205"/>
      <c r="AZM10" s="205"/>
      <c r="AZN10" s="205"/>
      <c r="AZO10" s="205"/>
      <c r="AZP10" s="205"/>
      <c r="AZQ10" s="205"/>
      <c r="AZR10" s="205"/>
      <c r="AZS10" s="205"/>
      <c r="AZT10" s="205"/>
      <c r="AZU10" s="205"/>
      <c r="AZV10" s="205"/>
      <c r="AZW10" s="205"/>
      <c r="AZX10" s="205"/>
      <c r="AZY10" s="205"/>
      <c r="AZZ10" s="205"/>
      <c r="BAA10" s="205"/>
      <c r="BAB10" s="205"/>
      <c r="BAC10" s="205"/>
      <c r="BAD10" s="205"/>
      <c r="BAE10" s="205"/>
      <c r="BAF10" s="205"/>
      <c r="BAG10" s="205"/>
      <c r="BAH10" s="205"/>
      <c r="BAI10" s="205"/>
      <c r="BAJ10" s="205"/>
      <c r="BAK10" s="205"/>
      <c r="BAL10" s="205"/>
      <c r="BAM10" s="205"/>
      <c r="BAN10" s="205"/>
      <c r="BAO10" s="205"/>
      <c r="BAP10" s="205"/>
      <c r="BAQ10" s="205"/>
      <c r="BAR10" s="205"/>
      <c r="BAS10" s="205"/>
      <c r="BAT10" s="205"/>
      <c r="BAU10" s="205"/>
      <c r="BAV10" s="205"/>
      <c r="BAW10" s="205"/>
      <c r="BAX10" s="205"/>
      <c r="BAY10" s="205"/>
      <c r="BAZ10" s="205"/>
      <c r="BBA10" s="205"/>
      <c r="BBB10" s="205"/>
      <c r="BBC10" s="205"/>
      <c r="BBD10" s="205"/>
      <c r="BBE10" s="205"/>
      <c r="BBF10" s="205"/>
      <c r="BBG10" s="205"/>
      <c r="BBH10" s="205"/>
      <c r="BBI10" s="205"/>
      <c r="BBJ10" s="205"/>
      <c r="BBK10" s="205"/>
      <c r="BBL10" s="205"/>
      <c r="BBM10" s="205"/>
      <c r="BBN10" s="205"/>
      <c r="BBO10" s="205"/>
      <c r="BBP10" s="205"/>
      <c r="BBQ10" s="205"/>
      <c r="BBR10" s="205"/>
      <c r="BBS10" s="205"/>
      <c r="BBT10" s="205"/>
      <c r="BBU10" s="205"/>
      <c r="BBV10" s="205"/>
      <c r="BBW10" s="205"/>
      <c r="BBX10" s="205"/>
      <c r="BBY10" s="205"/>
      <c r="BBZ10" s="205"/>
      <c r="BCA10" s="205"/>
      <c r="BCB10" s="205"/>
      <c r="BCC10" s="205"/>
      <c r="BCD10" s="205"/>
      <c r="BCE10" s="205"/>
      <c r="BCF10" s="205"/>
      <c r="BCG10" s="205"/>
      <c r="BCH10" s="205"/>
      <c r="BCI10" s="205"/>
      <c r="BCJ10" s="205"/>
      <c r="BCK10" s="205"/>
      <c r="BCL10" s="205"/>
      <c r="BCM10" s="205"/>
      <c r="BCN10" s="205"/>
      <c r="BCO10" s="205"/>
      <c r="BCP10" s="205"/>
      <c r="BCQ10" s="205"/>
      <c r="BCR10" s="205"/>
      <c r="BCS10" s="205"/>
      <c r="BCT10" s="205"/>
      <c r="BCU10" s="205"/>
      <c r="BCV10" s="205"/>
      <c r="BCW10" s="205"/>
      <c r="BCX10" s="205"/>
      <c r="BCY10" s="205"/>
      <c r="BCZ10" s="205"/>
      <c r="BDA10" s="205"/>
      <c r="BDB10" s="205"/>
      <c r="BDC10" s="205"/>
      <c r="BDD10" s="205"/>
      <c r="BDE10" s="205"/>
      <c r="BDF10" s="205"/>
      <c r="BDG10" s="205"/>
      <c r="BDH10" s="205"/>
      <c r="BDI10" s="205"/>
      <c r="BDJ10" s="205"/>
      <c r="BDK10" s="205"/>
      <c r="BDL10" s="205"/>
      <c r="BDM10" s="205"/>
      <c r="BDN10" s="205"/>
      <c r="BDO10" s="205"/>
      <c r="BDP10" s="205"/>
      <c r="BDQ10" s="205"/>
      <c r="BDR10" s="205"/>
      <c r="BDS10" s="205"/>
      <c r="BDT10" s="205"/>
      <c r="BDU10" s="205"/>
      <c r="BDV10" s="205"/>
      <c r="BDW10" s="205"/>
      <c r="BDX10" s="205"/>
      <c r="BDY10" s="205"/>
      <c r="BDZ10" s="205"/>
      <c r="BEA10" s="205"/>
      <c r="BEB10" s="205"/>
      <c r="BEC10" s="205"/>
      <c r="BED10" s="205"/>
      <c r="BEE10" s="205"/>
      <c r="BEF10" s="205"/>
      <c r="BEG10" s="205"/>
      <c r="BEH10" s="205"/>
      <c r="BEI10" s="205"/>
      <c r="BEJ10" s="205"/>
      <c r="BEK10" s="205"/>
      <c r="BEL10" s="205"/>
      <c r="BEM10" s="205"/>
      <c r="BEN10" s="205"/>
      <c r="BEO10" s="205"/>
      <c r="BEP10" s="205"/>
      <c r="BEQ10" s="205"/>
      <c r="BER10" s="205"/>
      <c r="BES10" s="205"/>
      <c r="BET10" s="205"/>
      <c r="BEU10" s="205"/>
      <c r="BEV10" s="205"/>
      <c r="BEW10" s="205"/>
      <c r="BEX10" s="205"/>
      <c r="BEY10" s="205"/>
      <c r="BEZ10" s="205"/>
      <c r="BFA10" s="205"/>
      <c r="BFB10" s="205"/>
      <c r="BFC10" s="205"/>
      <c r="BFD10" s="205"/>
      <c r="BFE10" s="205"/>
      <c r="BFF10" s="205"/>
      <c r="BFG10" s="205"/>
      <c r="BFH10" s="205"/>
      <c r="BFI10" s="205"/>
      <c r="BFJ10" s="205"/>
      <c r="BFK10" s="205"/>
      <c r="BFL10" s="205"/>
      <c r="BFM10" s="205"/>
      <c r="BFN10" s="205"/>
      <c r="BFO10" s="205"/>
      <c r="BFP10" s="205"/>
      <c r="BFQ10" s="205"/>
      <c r="BFR10" s="205"/>
      <c r="BFS10" s="205"/>
      <c r="BFT10" s="205"/>
      <c r="BFU10" s="205"/>
      <c r="BFV10" s="205"/>
      <c r="BFW10" s="205"/>
      <c r="BFX10" s="205"/>
      <c r="BFY10" s="205"/>
      <c r="BFZ10" s="205"/>
      <c r="BGA10" s="205"/>
      <c r="BGB10" s="205"/>
      <c r="BGC10" s="205"/>
      <c r="BGD10" s="205"/>
      <c r="BGE10" s="205"/>
      <c r="BGF10" s="205"/>
      <c r="BGG10" s="205"/>
      <c r="BGH10" s="205"/>
      <c r="BGI10" s="205"/>
      <c r="BGJ10" s="205"/>
      <c r="BGK10" s="205"/>
      <c r="BGL10" s="205"/>
      <c r="BGM10" s="205"/>
      <c r="BGN10" s="205"/>
      <c r="BGO10" s="205"/>
      <c r="BGP10" s="205"/>
      <c r="BGQ10" s="205"/>
      <c r="BGR10" s="205"/>
      <c r="BGS10" s="205"/>
      <c r="BGT10" s="205"/>
      <c r="BGU10" s="205"/>
      <c r="BGV10" s="205"/>
      <c r="BGW10" s="205"/>
      <c r="BGX10" s="205"/>
      <c r="BGY10" s="205"/>
      <c r="BGZ10" s="205"/>
      <c r="BHA10" s="205"/>
      <c r="BHB10" s="205"/>
      <c r="BHC10" s="205"/>
      <c r="BHD10" s="205"/>
      <c r="BHE10" s="205"/>
      <c r="BHF10" s="205"/>
      <c r="BHG10" s="205"/>
      <c r="BHH10" s="205"/>
      <c r="BHI10" s="205"/>
      <c r="BHJ10" s="205"/>
      <c r="BHK10" s="205"/>
      <c r="BHL10" s="205"/>
      <c r="BHM10" s="205"/>
      <c r="BHN10" s="205"/>
      <c r="BHO10" s="205"/>
      <c r="BHP10" s="205"/>
      <c r="BHQ10" s="205"/>
      <c r="BHR10" s="205"/>
      <c r="BHS10" s="205"/>
      <c r="BHT10" s="205"/>
      <c r="BHU10" s="205"/>
      <c r="BHV10" s="205"/>
      <c r="BHW10" s="205"/>
      <c r="BHX10" s="205"/>
      <c r="BHY10" s="205"/>
      <c r="BHZ10" s="205"/>
      <c r="BIA10" s="205"/>
      <c r="BIB10" s="205"/>
      <c r="BIC10" s="205"/>
      <c r="BID10" s="205"/>
      <c r="BIE10" s="205"/>
      <c r="BIF10" s="205"/>
      <c r="BIG10" s="205"/>
      <c r="BIH10" s="205"/>
      <c r="BII10" s="205"/>
      <c r="BIJ10" s="205"/>
      <c r="BIK10" s="205"/>
      <c r="BIL10" s="205"/>
      <c r="BIM10" s="205"/>
      <c r="BIN10" s="205"/>
      <c r="BIO10" s="205"/>
      <c r="BIP10" s="205"/>
      <c r="BIQ10" s="205"/>
      <c r="BIR10" s="205"/>
      <c r="BIS10" s="205"/>
      <c r="BIT10" s="205"/>
      <c r="BIU10" s="205"/>
      <c r="BIV10" s="205"/>
      <c r="BIW10" s="205"/>
      <c r="BIX10" s="205"/>
      <c r="BIY10" s="205"/>
      <c r="BIZ10" s="205"/>
      <c r="BJA10" s="205"/>
      <c r="BJB10" s="205"/>
      <c r="BJC10" s="205"/>
      <c r="BJD10" s="205"/>
      <c r="BJE10" s="205"/>
      <c r="BJF10" s="205"/>
      <c r="BJG10" s="205"/>
      <c r="BJH10" s="205"/>
      <c r="BJI10" s="205"/>
      <c r="BJJ10" s="205"/>
      <c r="BJK10" s="205"/>
      <c r="BJL10" s="205"/>
      <c r="BJM10" s="205"/>
      <c r="BJN10" s="205"/>
      <c r="BJO10" s="205"/>
      <c r="BJP10" s="205"/>
      <c r="BJQ10" s="205"/>
      <c r="BJR10" s="205"/>
      <c r="BJS10" s="205"/>
      <c r="BJT10" s="205"/>
      <c r="BJU10" s="205"/>
      <c r="BJV10" s="205"/>
      <c r="BJW10" s="205"/>
      <c r="BJX10" s="205"/>
      <c r="BJY10" s="205"/>
      <c r="BJZ10" s="205"/>
      <c r="BKA10" s="205"/>
      <c r="BKB10" s="205"/>
      <c r="BKC10" s="205"/>
      <c r="BKD10" s="205"/>
      <c r="BKE10" s="205"/>
      <c r="BKF10" s="205"/>
      <c r="BKG10" s="205"/>
      <c r="BKH10" s="205"/>
      <c r="BKI10" s="205"/>
      <c r="BKJ10" s="205"/>
      <c r="BKK10" s="205"/>
      <c r="BKL10" s="205"/>
      <c r="BKM10" s="205"/>
      <c r="BKN10" s="205"/>
      <c r="BKO10" s="205"/>
      <c r="BKP10" s="205"/>
      <c r="BKQ10" s="205"/>
      <c r="BKR10" s="205"/>
      <c r="BKS10" s="205"/>
      <c r="BKT10" s="205"/>
      <c r="BKU10" s="205"/>
      <c r="BKV10" s="205"/>
      <c r="BKW10" s="205"/>
      <c r="BKX10" s="205"/>
      <c r="BKY10" s="205"/>
      <c r="BKZ10" s="205"/>
      <c r="BLA10" s="205"/>
      <c r="BLB10" s="205"/>
      <c r="BLC10" s="205"/>
      <c r="BLD10" s="205"/>
      <c r="BLE10" s="205"/>
      <c r="BLF10" s="205"/>
      <c r="BLG10" s="205"/>
      <c r="BLH10" s="205"/>
      <c r="BLI10" s="205"/>
      <c r="BLJ10" s="205"/>
      <c r="BLK10" s="205"/>
      <c r="BLL10" s="205"/>
      <c r="BLM10" s="205"/>
      <c r="BLN10" s="205"/>
      <c r="BLO10" s="205"/>
      <c r="BLP10" s="205"/>
      <c r="BLQ10" s="205"/>
      <c r="BLR10" s="205"/>
      <c r="BLS10" s="205"/>
      <c r="BLT10" s="205"/>
      <c r="BLU10" s="205"/>
      <c r="BLV10" s="205"/>
      <c r="BLW10" s="205"/>
      <c r="BLX10" s="205"/>
      <c r="BLY10" s="205"/>
      <c r="BLZ10" s="205"/>
      <c r="BMA10" s="205"/>
      <c r="BMB10" s="205"/>
      <c r="BMC10" s="205"/>
      <c r="BMD10" s="205"/>
      <c r="BME10" s="205"/>
      <c r="BMF10" s="205"/>
      <c r="BMG10" s="205"/>
      <c r="BMH10" s="205"/>
      <c r="BMI10" s="205"/>
      <c r="BMJ10" s="205"/>
      <c r="BMK10" s="205"/>
      <c r="BML10" s="205"/>
      <c r="BMM10" s="205"/>
      <c r="BMN10" s="205"/>
      <c r="BMO10" s="205"/>
      <c r="BMP10" s="205"/>
      <c r="BMQ10" s="205"/>
      <c r="BMR10" s="205"/>
      <c r="BMS10" s="205"/>
      <c r="BMT10" s="205"/>
      <c r="BMU10" s="205"/>
      <c r="BMV10" s="205"/>
      <c r="BMW10" s="205"/>
      <c r="BMX10" s="205"/>
      <c r="BMY10" s="205"/>
      <c r="BMZ10" s="205"/>
      <c r="BNA10" s="205"/>
      <c r="BNB10" s="205"/>
      <c r="BNC10" s="205"/>
      <c r="BND10" s="205"/>
      <c r="BNE10" s="205"/>
      <c r="BNF10" s="205"/>
      <c r="BNG10" s="205"/>
      <c r="BNH10" s="205"/>
      <c r="BNI10" s="205"/>
      <c r="BNJ10" s="205"/>
      <c r="BNK10" s="205"/>
      <c r="BNL10" s="205"/>
      <c r="BNM10" s="205"/>
      <c r="BNN10" s="205"/>
      <c r="BNO10" s="205"/>
      <c r="BNP10" s="205"/>
      <c r="BNQ10" s="205"/>
      <c r="BNR10" s="205"/>
      <c r="BNS10" s="205"/>
      <c r="BNT10" s="205"/>
      <c r="BNU10" s="205"/>
      <c r="BNV10" s="205"/>
      <c r="BNW10" s="205"/>
      <c r="BNX10" s="205"/>
      <c r="BNY10" s="205"/>
      <c r="BNZ10" s="205"/>
      <c r="BOA10" s="205"/>
      <c r="BOB10" s="205"/>
      <c r="BOC10" s="205"/>
      <c r="BOD10" s="205"/>
      <c r="BOE10" s="205"/>
      <c r="BOF10" s="205"/>
      <c r="BOG10" s="205"/>
      <c r="BOH10" s="205"/>
      <c r="BOI10" s="205"/>
      <c r="BOJ10" s="205"/>
      <c r="BOK10" s="205"/>
      <c r="BOL10" s="205"/>
      <c r="BOM10" s="205"/>
      <c r="BON10" s="205"/>
      <c r="BOO10" s="205"/>
      <c r="BOP10" s="205"/>
      <c r="BOQ10" s="205"/>
      <c r="BOR10" s="205"/>
      <c r="BOS10" s="205"/>
      <c r="BOT10" s="205"/>
      <c r="BOU10" s="205"/>
      <c r="BOV10" s="205"/>
      <c r="BOW10" s="205"/>
      <c r="BOX10" s="205"/>
      <c r="BOY10" s="205"/>
      <c r="BOZ10" s="205"/>
      <c r="BPA10" s="205"/>
      <c r="BPB10" s="205"/>
      <c r="BPC10" s="205"/>
      <c r="BPD10" s="205"/>
      <c r="BPE10" s="205"/>
      <c r="BPF10" s="205"/>
      <c r="BPG10" s="205"/>
      <c r="BPH10" s="205"/>
      <c r="BPI10" s="205"/>
      <c r="BPJ10" s="205"/>
      <c r="BPK10" s="205"/>
      <c r="BPL10" s="205"/>
      <c r="BPM10" s="205"/>
      <c r="BPN10" s="205"/>
      <c r="BPO10" s="205"/>
      <c r="BPP10" s="205"/>
      <c r="BPQ10" s="205"/>
      <c r="BPR10" s="205"/>
      <c r="BPS10" s="205"/>
      <c r="BPT10" s="205"/>
      <c r="BPU10" s="205"/>
      <c r="BPV10" s="205"/>
      <c r="BPW10" s="205"/>
      <c r="BPX10" s="205"/>
      <c r="BPY10" s="205"/>
      <c r="BPZ10" s="205"/>
      <c r="BQA10" s="205"/>
      <c r="BQB10" s="205"/>
      <c r="BQC10" s="205"/>
      <c r="BQD10" s="205"/>
      <c r="BQE10" s="205"/>
      <c r="BQF10" s="205"/>
      <c r="BQG10" s="205"/>
      <c r="BQH10" s="205"/>
      <c r="BQI10" s="205"/>
      <c r="BQJ10" s="205"/>
      <c r="BQK10" s="205"/>
      <c r="BQL10" s="205"/>
      <c r="BQM10" s="205"/>
      <c r="BQN10" s="205"/>
      <c r="BQO10" s="205"/>
      <c r="BQP10" s="205"/>
      <c r="BQQ10" s="205"/>
      <c r="BQR10" s="205"/>
      <c r="BQS10" s="205"/>
      <c r="BQT10" s="205"/>
      <c r="BQU10" s="205"/>
      <c r="BQV10" s="205"/>
      <c r="BQW10" s="205"/>
      <c r="BQX10" s="205"/>
      <c r="BQY10" s="205"/>
      <c r="BQZ10" s="205"/>
      <c r="BRA10" s="205"/>
      <c r="BRB10" s="205"/>
      <c r="BRC10" s="205"/>
      <c r="BRD10" s="205"/>
      <c r="BRE10" s="205"/>
      <c r="BRF10" s="205"/>
      <c r="BRG10" s="205"/>
      <c r="BRH10" s="205"/>
      <c r="BRI10" s="205"/>
      <c r="BRJ10" s="205"/>
      <c r="BRK10" s="205"/>
      <c r="BRL10" s="205"/>
      <c r="BRM10" s="205"/>
      <c r="BRN10" s="205"/>
      <c r="BRO10" s="205"/>
      <c r="BRP10" s="205"/>
      <c r="BRQ10" s="205"/>
      <c r="BRR10" s="205"/>
      <c r="BRS10" s="205"/>
      <c r="BRT10" s="205"/>
      <c r="BRU10" s="205"/>
      <c r="BRV10" s="205"/>
      <c r="BRW10" s="205"/>
      <c r="BRX10" s="205"/>
      <c r="BRY10" s="205"/>
      <c r="BRZ10" s="205"/>
      <c r="BSA10" s="205"/>
      <c r="BSB10" s="205"/>
      <c r="BSC10" s="205"/>
      <c r="BSD10" s="205"/>
      <c r="BSE10" s="205"/>
      <c r="BSF10" s="205"/>
      <c r="BSG10" s="205"/>
      <c r="BSH10" s="205"/>
      <c r="BSI10" s="205"/>
      <c r="BSJ10" s="205"/>
      <c r="BSK10" s="205"/>
      <c r="BSL10" s="205"/>
      <c r="BSM10" s="205"/>
      <c r="BSN10" s="205"/>
      <c r="BSO10" s="205"/>
      <c r="BSP10" s="205"/>
      <c r="BSQ10" s="205"/>
      <c r="BSR10" s="205"/>
      <c r="BSS10" s="205"/>
      <c r="BST10" s="205"/>
      <c r="BSU10" s="205"/>
      <c r="BSV10" s="205"/>
      <c r="BSW10" s="205"/>
      <c r="BSX10" s="205"/>
      <c r="BSY10" s="205"/>
      <c r="BSZ10" s="205"/>
      <c r="BTA10" s="205"/>
      <c r="BTB10" s="205"/>
      <c r="BTC10" s="205"/>
      <c r="BTD10" s="205"/>
      <c r="BTE10" s="205"/>
      <c r="BTF10" s="205"/>
      <c r="BTG10" s="205"/>
      <c r="BTH10" s="205"/>
      <c r="BTI10" s="205"/>
      <c r="BTJ10" s="205"/>
      <c r="BTK10" s="205"/>
      <c r="BTL10" s="205"/>
      <c r="BTM10" s="205"/>
      <c r="BTN10" s="205"/>
      <c r="BTO10" s="205"/>
      <c r="BTP10" s="205"/>
      <c r="BTQ10" s="205"/>
      <c r="BTR10" s="205"/>
      <c r="BTS10" s="205"/>
      <c r="BTT10" s="205"/>
      <c r="BTU10" s="205"/>
      <c r="BTV10" s="205"/>
      <c r="BTW10" s="205"/>
      <c r="BTX10" s="205"/>
      <c r="BTY10" s="205"/>
      <c r="BTZ10" s="205"/>
      <c r="BUA10" s="205"/>
      <c r="BUB10" s="205"/>
      <c r="BUC10" s="205"/>
      <c r="BUD10" s="205"/>
      <c r="BUE10" s="205"/>
      <c r="BUF10" s="205"/>
      <c r="BUG10" s="205"/>
      <c r="BUH10" s="205"/>
      <c r="BUI10" s="205"/>
      <c r="BUJ10" s="205"/>
      <c r="BUK10" s="205"/>
      <c r="BUL10" s="205"/>
      <c r="BUM10" s="205"/>
      <c r="BUN10" s="205"/>
      <c r="BUO10" s="205"/>
      <c r="BUP10" s="205"/>
      <c r="BUQ10" s="205"/>
      <c r="BUR10" s="205"/>
      <c r="BUS10" s="205"/>
      <c r="BUT10" s="205"/>
      <c r="BUU10" s="205"/>
      <c r="BUV10" s="205"/>
      <c r="BUW10" s="205"/>
      <c r="BUX10" s="205"/>
      <c r="BUY10" s="205"/>
      <c r="BUZ10" s="205"/>
      <c r="BVA10" s="205"/>
      <c r="BVB10" s="205"/>
      <c r="BVC10" s="205"/>
      <c r="BVD10" s="205"/>
      <c r="BVE10" s="205"/>
      <c r="BVF10" s="205"/>
      <c r="BVG10" s="205"/>
      <c r="BVH10" s="205"/>
      <c r="BVI10" s="205"/>
      <c r="BVJ10" s="205"/>
      <c r="BVK10" s="205"/>
      <c r="BVL10" s="205"/>
      <c r="BVM10" s="205"/>
      <c r="BVN10" s="205"/>
      <c r="BVO10" s="205"/>
      <c r="BVP10" s="205"/>
      <c r="BVQ10" s="205"/>
      <c r="BVR10" s="205"/>
      <c r="BVS10" s="205"/>
      <c r="BVT10" s="205"/>
      <c r="BVU10" s="205"/>
      <c r="BVV10" s="205"/>
      <c r="BVW10" s="205"/>
      <c r="BVX10" s="205"/>
      <c r="BVY10" s="205"/>
      <c r="BVZ10" s="205"/>
      <c r="BWA10" s="205"/>
      <c r="BWB10" s="205"/>
      <c r="BWC10" s="205"/>
      <c r="BWD10" s="205"/>
      <c r="BWE10" s="205"/>
      <c r="BWF10" s="205"/>
      <c r="BWG10" s="205"/>
      <c r="BWH10" s="205"/>
      <c r="BWI10" s="205"/>
      <c r="BWJ10" s="205"/>
      <c r="BWK10" s="205"/>
      <c r="BWL10" s="205"/>
      <c r="BWM10" s="205"/>
      <c r="BWN10" s="205"/>
      <c r="BWO10" s="205"/>
      <c r="BWP10" s="205"/>
      <c r="BWQ10" s="205"/>
      <c r="BWR10" s="205"/>
      <c r="BWS10" s="205"/>
      <c r="BWT10" s="205"/>
      <c r="BWU10" s="205"/>
      <c r="BWV10" s="205"/>
      <c r="BWW10" s="205"/>
      <c r="BWX10" s="205"/>
      <c r="BWY10" s="205"/>
      <c r="BWZ10" s="205"/>
      <c r="BXA10" s="205"/>
      <c r="BXB10" s="205"/>
      <c r="BXC10" s="205"/>
      <c r="BXD10" s="205"/>
      <c r="BXE10" s="205"/>
      <c r="BXF10" s="205"/>
      <c r="BXG10" s="205"/>
      <c r="BXH10" s="205"/>
      <c r="BXI10" s="205"/>
      <c r="BXJ10" s="205"/>
      <c r="BXK10" s="205"/>
      <c r="BXL10" s="205"/>
      <c r="BXM10" s="205"/>
      <c r="BXN10" s="205"/>
      <c r="BXO10" s="205"/>
      <c r="BXP10" s="205"/>
      <c r="BXQ10" s="205"/>
      <c r="BXR10" s="205"/>
      <c r="BXS10" s="205"/>
      <c r="BXT10" s="205"/>
      <c r="BXU10" s="205"/>
      <c r="BXV10" s="205"/>
      <c r="BXW10" s="205"/>
      <c r="BXX10" s="205"/>
      <c r="BXY10" s="205"/>
      <c r="BXZ10" s="205"/>
      <c r="BYA10" s="205"/>
      <c r="BYB10" s="205"/>
      <c r="BYC10" s="205"/>
      <c r="BYD10" s="205"/>
      <c r="BYE10" s="205"/>
      <c r="BYF10" s="205"/>
      <c r="BYG10" s="205"/>
      <c r="BYH10" s="205"/>
      <c r="BYI10" s="205"/>
      <c r="BYJ10" s="205"/>
      <c r="BYK10" s="205"/>
      <c r="BYL10" s="205"/>
      <c r="BYM10" s="205"/>
      <c r="BYN10" s="205"/>
      <c r="BYO10" s="205"/>
      <c r="BYP10" s="205"/>
      <c r="BYQ10" s="205"/>
      <c r="BYR10" s="205"/>
      <c r="BYS10" s="205"/>
      <c r="BYT10" s="205"/>
      <c r="BYU10" s="205"/>
      <c r="BYV10" s="205"/>
      <c r="BYW10" s="205"/>
      <c r="BYX10" s="205"/>
      <c r="BYY10" s="205"/>
      <c r="BYZ10" s="205"/>
      <c r="BZA10" s="205"/>
      <c r="BZB10" s="205"/>
      <c r="BZC10" s="205"/>
      <c r="BZD10" s="205"/>
      <c r="BZE10" s="205"/>
      <c r="BZF10" s="205"/>
      <c r="BZG10" s="205"/>
      <c r="BZH10" s="205"/>
      <c r="BZI10" s="205"/>
      <c r="BZJ10" s="205"/>
      <c r="BZK10" s="205"/>
      <c r="BZL10" s="205"/>
      <c r="BZM10" s="205"/>
      <c r="BZN10" s="205"/>
      <c r="BZO10" s="205"/>
      <c r="BZP10" s="205"/>
      <c r="BZQ10" s="205"/>
      <c r="BZR10" s="205"/>
      <c r="BZS10" s="205"/>
      <c r="BZT10" s="205"/>
      <c r="BZU10" s="205"/>
      <c r="BZV10" s="205"/>
      <c r="BZW10" s="205"/>
      <c r="BZX10" s="205"/>
      <c r="BZY10" s="205"/>
      <c r="BZZ10" s="205"/>
      <c r="CAA10" s="205"/>
      <c r="CAB10" s="205"/>
      <c r="CAC10" s="205"/>
      <c r="CAD10" s="205"/>
      <c r="CAE10" s="205"/>
      <c r="CAF10" s="205"/>
      <c r="CAG10" s="205"/>
      <c r="CAH10" s="205"/>
      <c r="CAI10" s="205"/>
      <c r="CAJ10" s="205"/>
      <c r="CAK10" s="205"/>
      <c r="CAL10" s="205"/>
      <c r="CAM10" s="205"/>
      <c r="CAN10" s="205"/>
      <c r="CAO10" s="205"/>
      <c r="CAP10" s="205"/>
      <c r="CAQ10" s="205"/>
      <c r="CAR10" s="205"/>
      <c r="CAS10" s="205"/>
      <c r="CAT10" s="205"/>
      <c r="CAU10" s="205"/>
      <c r="CAV10" s="205"/>
      <c r="CAW10" s="205"/>
      <c r="CAX10" s="205"/>
      <c r="CAY10" s="205"/>
      <c r="CAZ10" s="205"/>
      <c r="CBA10" s="205"/>
      <c r="CBB10" s="205"/>
      <c r="CBC10" s="205"/>
      <c r="CBD10" s="205"/>
      <c r="CBE10" s="205"/>
      <c r="CBF10" s="205"/>
      <c r="CBG10" s="205"/>
      <c r="CBH10" s="205"/>
      <c r="CBI10" s="205"/>
      <c r="CBJ10" s="205"/>
      <c r="CBK10" s="205"/>
      <c r="CBL10" s="205"/>
      <c r="CBM10" s="205"/>
      <c r="CBN10" s="205"/>
      <c r="CBO10" s="205"/>
      <c r="CBP10" s="205"/>
      <c r="CBQ10" s="205"/>
      <c r="CBR10" s="205"/>
      <c r="CBS10" s="205"/>
      <c r="CBT10" s="205"/>
      <c r="CBU10" s="205"/>
      <c r="CBV10" s="205"/>
      <c r="CBW10" s="205"/>
      <c r="CBX10" s="205"/>
      <c r="CBY10" s="205"/>
      <c r="CBZ10" s="205"/>
      <c r="CCA10" s="205"/>
      <c r="CCB10" s="205"/>
      <c r="CCC10" s="205"/>
      <c r="CCD10" s="205"/>
      <c r="CCE10" s="205"/>
      <c r="CCF10" s="205"/>
      <c r="CCG10" s="205"/>
      <c r="CCH10" s="205"/>
      <c r="CCI10" s="205"/>
      <c r="CCJ10" s="205"/>
      <c r="CCK10" s="205"/>
      <c r="CCL10" s="205"/>
      <c r="CCM10" s="205"/>
      <c r="CCN10" s="205"/>
      <c r="CCO10" s="205"/>
      <c r="CCP10" s="205"/>
      <c r="CCQ10" s="205"/>
      <c r="CCR10" s="205"/>
      <c r="CCS10" s="205"/>
      <c r="CCT10" s="205"/>
      <c r="CCU10" s="205"/>
      <c r="CCV10" s="205"/>
      <c r="CCW10" s="205"/>
      <c r="VSR10" s="52"/>
      <c r="VSZ10" s="52"/>
    </row>
    <row r="11" spans="1:2129 15008:15068 15384:15392" ht="15.95" customHeight="1" x14ac:dyDescent="0.25">
      <c r="A11"/>
      <c r="B11"/>
      <c r="C11"/>
      <c r="D11"/>
      <c r="E11"/>
      <c r="F11"/>
      <c r="H11" s="75" t="s">
        <v>60</v>
      </c>
      <c r="I11" s="74"/>
      <c r="J11" s="192"/>
      <c r="K11" s="73"/>
      <c r="L11" s="72"/>
      <c r="M11" s="71"/>
      <c r="N11" s="72"/>
      <c r="O11" s="72"/>
      <c r="P11" s="71"/>
      <c r="Q11" s="181"/>
      <c r="R11" s="72"/>
      <c r="S11" s="72"/>
      <c r="T11" s="71"/>
      <c r="U11" s="190"/>
      <c r="V11" s="190"/>
      <c r="W11" s="190"/>
      <c r="X11" s="65"/>
      <c r="Y11" s="65"/>
      <c r="Z11" s="65"/>
      <c r="AA11" s="65"/>
      <c r="AB11" s="65"/>
      <c r="AC11" s="64"/>
      <c r="AD11" s="64"/>
      <c r="AE11" s="64"/>
      <c r="AF11" s="64"/>
      <c r="AG11" s="64"/>
      <c r="AH11" s="64"/>
      <c r="AI11" s="64"/>
      <c r="AJ11" s="64"/>
      <c r="AK11" s="64"/>
      <c r="AL11" s="64"/>
      <c r="AM11" s="64"/>
      <c r="AN11" s="64"/>
      <c r="AO11" s="64"/>
      <c r="AP11" s="64"/>
      <c r="AQ11" s="64"/>
      <c r="AR11" s="64"/>
      <c r="AS11" s="64"/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4"/>
      <c r="BR11" s="64"/>
      <c r="BS11" s="64"/>
      <c r="BT11" s="64"/>
      <c r="BU11" s="64"/>
      <c r="BV11" s="64"/>
      <c r="BW11" s="64"/>
      <c r="BX11" s="64"/>
      <c r="BY11" s="64"/>
      <c r="BZ11" s="64"/>
      <c r="CA11" s="64"/>
      <c r="CB11" s="64"/>
      <c r="CC11" s="64"/>
      <c r="CD11" s="64"/>
      <c r="CE11" s="64"/>
      <c r="CF11" s="64"/>
    </row>
    <row r="12" spans="1:2129 15008:15068 15384:15392" ht="15.95" customHeight="1" x14ac:dyDescent="0.25">
      <c r="A12"/>
      <c r="B12"/>
      <c r="C12"/>
      <c r="D12"/>
      <c r="E12"/>
      <c r="F12"/>
      <c r="H12" s="74"/>
      <c r="I12" s="74"/>
      <c r="J12" s="192"/>
      <c r="K12" s="73"/>
      <c r="L12" s="72"/>
      <c r="M12" s="71"/>
      <c r="N12" s="72"/>
      <c r="O12" s="72"/>
      <c r="P12" s="71"/>
      <c r="Q12" s="182"/>
      <c r="R12" s="72"/>
      <c r="S12" s="72"/>
      <c r="T12" s="71"/>
      <c r="U12" s="190"/>
      <c r="V12" s="190"/>
      <c r="W12" s="190"/>
      <c r="X12" s="65"/>
      <c r="Y12" s="65"/>
      <c r="Z12" s="65"/>
      <c r="AA12" s="65"/>
      <c r="AB12" s="65"/>
      <c r="AC12" s="64"/>
      <c r="AD12" s="64"/>
      <c r="AE12" s="64"/>
      <c r="AF12" s="64"/>
      <c r="AG12" s="64"/>
      <c r="AH12" s="64"/>
      <c r="AI12" s="64"/>
      <c r="AJ12" s="64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  <c r="BK12" s="64"/>
      <c r="BL12" s="64"/>
      <c r="BM12" s="64"/>
      <c r="BN12" s="64"/>
      <c r="BO12" s="64"/>
      <c r="BP12" s="64"/>
      <c r="BQ12" s="64"/>
      <c r="BR12" s="64"/>
      <c r="BS12" s="64"/>
      <c r="BT12" s="64"/>
      <c r="BU12" s="64"/>
      <c r="BV12" s="64"/>
      <c r="BW12" s="64"/>
      <c r="BX12" s="64"/>
      <c r="BY12" s="64"/>
      <c r="BZ12" s="64"/>
      <c r="CA12" s="64"/>
      <c r="CB12" s="64"/>
      <c r="CC12" s="64"/>
      <c r="CD12" s="64"/>
      <c r="CE12" s="64"/>
      <c r="CF12" s="64"/>
    </row>
    <row r="13" spans="1:2129 15008:15068 15384:15392" ht="15.95" customHeight="1" x14ac:dyDescent="0.25">
      <c r="A13"/>
      <c r="B13"/>
      <c r="C13"/>
      <c r="D13"/>
      <c r="E13"/>
      <c r="F13"/>
      <c r="H13" s="74"/>
      <c r="I13" s="74"/>
      <c r="J13" s="192"/>
      <c r="K13" s="73"/>
      <c r="L13" s="72"/>
      <c r="M13" s="71"/>
      <c r="N13" s="72"/>
      <c r="O13" s="72"/>
      <c r="P13" s="71"/>
      <c r="Q13" s="181"/>
      <c r="R13" s="72"/>
      <c r="S13" s="72"/>
      <c r="T13" s="71"/>
      <c r="U13" s="190"/>
      <c r="V13" s="190"/>
      <c r="W13" s="190"/>
      <c r="X13" s="65"/>
      <c r="Y13" s="65"/>
      <c r="Z13" s="65"/>
      <c r="AA13" s="65"/>
      <c r="AB13" s="65"/>
      <c r="AC13" s="64"/>
      <c r="AD13" s="64"/>
      <c r="AE13" s="64"/>
      <c r="AF13" s="64"/>
      <c r="AG13" s="64"/>
      <c r="AH13" s="64"/>
      <c r="AI13" s="64"/>
      <c r="AJ13" s="64"/>
      <c r="AK13" s="64"/>
      <c r="AL13" s="64"/>
      <c r="AM13" s="64"/>
      <c r="AN13" s="64"/>
      <c r="AO13" s="64"/>
      <c r="AP13" s="64"/>
      <c r="AQ13" s="64"/>
      <c r="AR13" s="64"/>
      <c r="AS13" s="64"/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64"/>
      <c r="BO13" s="64"/>
      <c r="BP13" s="64"/>
      <c r="BQ13" s="64"/>
      <c r="BR13" s="64"/>
      <c r="BS13" s="64"/>
      <c r="BT13" s="64"/>
      <c r="BU13" s="64"/>
      <c r="BV13" s="64"/>
      <c r="BW13" s="64"/>
      <c r="BX13" s="64"/>
      <c r="BY13" s="64"/>
      <c r="BZ13" s="64"/>
      <c r="CA13" s="64"/>
      <c r="CB13" s="64"/>
      <c r="CC13" s="64"/>
      <c r="CD13" s="64"/>
      <c r="CE13" s="64"/>
      <c r="CF13" s="64"/>
    </row>
    <row r="14" spans="1:2129 15008:15068 15384:15392" ht="15.95" customHeight="1" x14ac:dyDescent="0.2">
      <c r="A14" s="70"/>
      <c r="B14" s="70"/>
      <c r="C14" s="70"/>
      <c r="D14" s="70"/>
      <c r="E14" s="70"/>
      <c r="F14" s="70"/>
      <c r="H14" s="62"/>
      <c r="I14" s="69"/>
      <c r="J14" s="193"/>
      <c r="K14" s="68"/>
      <c r="L14" s="67"/>
      <c r="M14" s="66"/>
      <c r="N14" s="174"/>
      <c r="O14" s="174"/>
      <c r="P14" s="71"/>
      <c r="Q14" s="181"/>
      <c r="R14" s="67"/>
      <c r="S14" s="67"/>
      <c r="T14" s="66"/>
      <c r="U14" s="190"/>
      <c r="V14" s="190"/>
      <c r="W14" s="190"/>
      <c r="X14" s="65"/>
      <c r="Y14" s="65"/>
      <c r="Z14" s="65"/>
      <c r="AA14" s="65"/>
      <c r="AB14" s="65"/>
      <c r="AC14" s="64"/>
      <c r="AD14" s="64"/>
      <c r="AE14" s="64"/>
      <c r="AF14" s="64"/>
      <c r="AG14" s="64"/>
      <c r="AH14" s="64"/>
      <c r="AI14" s="64"/>
      <c r="AJ14" s="64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4"/>
      <c r="BR14" s="64"/>
      <c r="BS14" s="64"/>
      <c r="BT14" s="64"/>
      <c r="BU14" s="64"/>
      <c r="BV14" s="64"/>
      <c r="BW14" s="64"/>
      <c r="BX14" s="64"/>
      <c r="BY14" s="64"/>
      <c r="BZ14" s="64"/>
      <c r="CA14" s="64"/>
      <c r="CB14" s="64"/>
      <c r="CC14" s="64"/>
      <c r="CD14" s="64"/>
      <c r="CE14" s="64"/>
      <c r="CF14" s="64"/>
    </row>
    <row r="15" spans="1:2129 15008:15068 15384:15392" ht="15.95" customHeight="1" x14ac:dyDescent="0.2">
      <c r="H15" s="62"/>
    </row>
    <row r="16" spans="1:2129 15008:15068 15384:15392" ht="15.95" customHeight="1" x14ac:dyDescent="0.2">
      <c r="H16" s="62"/>
      <c r="AE16" s="63"/>
    </row>
    <row r="17" spans="1:85" ht="15.95" customHeight="1" x14ac:dyDescent="0.2">
      <c r="H17" s="62"/>
    </row>
    <row r="18" spans="1:85" s="60" customFormat="1" ht="15.95" customHeight="1" x14ac:dyDescent="0.2">
      <c r="A18" s="52"/>
      <c r="B18" s="52"/>
      <c r="C18" s="52"/>
      <c r="D18" s="52"/>
      <c r="E18" s="52"/>
      <c r="F18" s="52"/>
      <c r="G18" s="59"/>
      <c r="H18" s="62"/>
      <c r="I18" s="58"/>
      <c r="J18" s="194"/>
      <c r="K18" s="57"/>
      <c r="L18" s="57"/>
      <c r="M18" s="56"/>
      <c r="N18" s="175"/>
      <c r="O18" s="175"/>
      <c r="P18" s="188"/>
      <c r="Q18" s="183"/>
      <c r="R18" s="57"/>
      <c r="S18" s="57"/>
      <c r="T18" s="56"/>
      <c r="U18" s="191"/>
      <c r="V18" s="191"/>
      <c r="W18" s="191"/>
      <c r="X18" s="55"/>
      <c r="Y18" s="55"/>
      <c r="Z18" s="55"/>
      <c r="AA18" s="55"/>
      <c r="AB18" s="55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  <c r="BM18" s="54"/>
      <c r="BN18" s="54"/>
      <c r="BO18" s="54"/>
      <c r="BP18" s="54"/>
      <c r="BQ18" s="54"/>
      <c r="BR18" s="54"/>
      <c r="BS18" s="54"/>
      <c r="BT18" s="54"/>
      <c r="BU18" s="54"/>
      <c r="BV18" s="54"/>
      <c r="BW18" s="54"/>
      <c r="BX18" s="54"/>
      <c r="BY18" s="54"/>
      <c r="BZ18" s="54"/>
      <c r="CA18" s="54"/>
      <c r="CB18" s="54"/>
      <c r="CC18" s="54"/>
      <c r="CD18" s="54"/>
      <c r="CE18" s="54"/>
      <c r="CF18" s="54"/>
      <c r="CG18" s="53"/>
    </row>
    <row r="19" spans="1:85" s="60" customFormat="1" ht="15.95" customHeight="1" x14ac:dyDescent="0.2">
      <c r="A19" s="52"/>
      <c r="B19" s="52"/>
      <c r="C19" s="52"/>
      <c r="D19" s="52"/>
      <c r="E19" s="52"/>
      <c r="F19" s="52"/>
      <c r="G19" s="59"/>
      <c r="H19" s="62"/>
      <c r="I19" s="58"/>
      <c r="J19" s="194"/>
      <c r="K19" s="57"/>
      <c r="L19" s="57"/>
      <c r="M19" s="56"/>
      <c r="N19" s="175"/>
      <c r="O19" s="175"/>
      <c r="P19" s="188"/>
      <c r="Q19" s="183"/>
      <c r="R19" s="57"/>
      <c r="S19" s="57"/>
      <c r="T19" s="56"/>
      <c r="U19" s="191"/>
      <c r="V19" s="191"/>
      <c r="W19" s="191"/>
      <c r="X19" s="55"/>
      <c r="Y19" s="55"/>
      <c r="Z19" s="55"/>
      <c r="AA19" s="55"/>
      <c r="AB19" s="55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54"/>
      <c r="BK19" s="54"/>
      <c r="BL19" s="54"/>
      <c r="BM19" s="54"/>
      <c r="BN19" s="54"/>
      <c r="BO19" s="54"/>
      <c r="BP19" s="54"/>
      <c r="BQ19" s="54"/>
      <c r="BR19" s="54"/>
      <c r="BS19" s="54"/>
      <c r="BT19" s="54"/>
      <c r="BU19" s="54"/>
      <c r="BV19" s="54"/>
      <c r="BW19" s="54"/>
      <c r="BX19" s="54"/>
      <c r="BY19" s="54"/>
      <c r="BZ19" s="54"/>
      <c r="CA19" s="54"/>
      <c r="CB19" s="54"/>
      <c r="CC19" s="54"/>
      <c r="CD19" s="54"/>
      <c r="CE19" s="54"/>
      <c r="CF19" s="54"/>
      <c r="CG19" s="53"/>
    </row>
    <row r="20" spans="1:85" s="60" customFormat="1" ht="15.95" customHeight="1" x14ac:dyDescent="0.2">
      <c r="A20" s="52"/>
      <c r="B20" s="52"/>
      <c r="C20" s="52"/>
      <c r="D20" s="52"/>
      <c r="E20" s="52"/>
      <c r="F20" s="52"/>
      <c r="G20" s="59"/>
      <c r="H20" s="62"/>
      <c r="I20" s="58"/>
      <c r="J20" s="194"/>
      <c r="K20" s="57"/>
      <c r="L20" s="57"/>
      <c r="M20" s="56"/>
      <c r="N20" s="175"/>
      <c r="O20" s="175"/>
      <c r="P20" s="188"/>
      <c r="Q20" s="183"/>
      <c r="R20" s="57"/>
      <c r="S20" s="57"/>
      <c r="T20" s="56"/>
      <c r="U20" s="191"/>
      <c r="V20" s="191"/>
      <c r="W20" s="191"/>
      <c r="X20" s="55"/>
      <c r="Y20" s="55"/>
      <c r="Z20" s="55"/>
      <c r="AA20" s="55"/>
      <c r="AB20" s="55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3"/>
    </row>
    <row r="21" spans="1:85" s="60" customFormat="1" ht="15.95" customHeight="1" x14ac:dyDescent="0.2">
      <c r="A21" s="52"/>
      <c r="B21" s="52"/>
      <c r="C21" s="52"/>
      <c r="D21" s="52"/>
      <c r="E21" s="52"/>
      <c r="F21" s="52"/>
      <c r="G21" s="59"/>
      <c r="H21" s="62"/>
      <c r="I21" s="58"/>
      <c r="J21" s="194"/>
      <c r="K21" s="57"/>
      <c r="L21" s="57"/>
      <c r="M21" s="56"/>
      <c r="N21" s="175"/>
      <c r="O21" s="175"/>
      <c r="P21" s="188"/>
      <c r="Q21" s="183"/>
      <c r="R21" s="57"/>
      <c r="S21" s="57"/>
      <c r="T21" s="56"/>
      <c r="U21" s="191"/>
      <c r="V21" s="191"/>
      <c r="W21" s="191"/>
      <c r="X21" s="55"/>
      <c r="Y21" s="55"/>
      <c r="Z21" s="55"/>
      <c r="AA21" s="55"/>
      <c r="AB21" s="55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/>
      <c r="BB21" s="54"/>
      <c r="BC21" s="54"/>
      <c r="BD21" s="54"/>
      <c r="BE21" s="54"/>
      <c r="BF21" s="54"/>
      <c r="BG21" s="54"/>
      <c r="BH21" s="54"/>
      <c r="BI21" s="54"/>
      <c r="BJ21" s="54"/>
      <c r="BK21" s="54"/>
      <c r="BL21" s="54"/>
      <c r="BM21" s="54"/>
      <c r="BN21" s="54"/>
      <c r="BO21" s="54"/>
      <c r="BP21" s="54"/>
      <c r="BQ21" s="54"/>
      <c r="BR21" s="54"/>
      <c r="BS21" s="54"/>
      <c r="BT21" s="54"/>
      <c r="BU21" s="54"/>
      <c r="BV21" s="54"/>
      <c r="BW21" s="54"/>
      <c r="BX21" s="54"/>
      <c r="BY21" s="54"/>
      <c r="BZ21" s="54"/>
      <c r="CA21" s="54"/>
      <c r="CB21" s="54"/>
      <c r="CC21" s="54"/>
      <c r="CD21" s="54"/>
      <c r="CE21" s="54"/>
      <c r="CF21" s="54"/>
      <c r="CG21" s="53"/>
    </row>
    <row r="22" spans="1:85" s="60" customFormat="1" ht="15.95" customHeight="1" x14ac:dyDescent="0.2">
      <c r="A22" s="52"/>
      <c r="B22" s="52"/>
      <c r="C22" s="52"/>
      <c r="D22" s="52"/>
      <c r="E22" s="52"/>
      <c r="F22" s="52"/>
      <c r="G22" s="59"/>
      <c r="H22" s="62"/>
      <c r="I22" s="58"/>
      <c r="J22" s="194"/>
      <c r="K22" s="57"/>
      <c r="L22" s="57"/>
      <c r="M22" s="56"/>
      <c r="N22" s="175"/>
      <c r="O22" s="175"/>
      <c r="P22" s="188"/>
      <c r="Q22" s="183"/>
      <c r="R22" s="57"/>
      <c r="S22" s="57"/>
      <c r="T22" s="56"/>
      <c r="U22" s="191"/>
      <c r="V22" s="191"/>
      <c r="W22" s="191"/>
      <c r="X22" s="55"/>
      <c r="Y22" s="55"/>
      <c r="Z22" s="55"/>
      <c r="AA22" s="55"/>
      <c r="AB22" s="55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/>
      <c r="BB22" s="54"/>
      <c r="BC22" s="54"/>
      <c r="BD22" s="54"/>
      <c r="BE22" s="54"/>
      <c r="BF22" s="54"/>
      <c r="BG22" s="54"/>
      <c r="BH22" s="54"/>
      <c r="BI22" s="54"/>
      <c r="BJ22" s="54"/>
      <c r="BK22" s="54"/>
      <c r="BL22" s="54"/>
      <c r="BM22" s="54"/>
      <c r="BN22" s="54"/>
      <c r="BO22" s="54"/>
      <c r="BP22" s="54"/>
      <c r="BQ22" s="54"/>
      <c r="BR22" s="54"/>
      <c r="BS22" s="54"/>
      <c r="BT22" s="54"/>
      <c r="BU22" s="54"/>
      <c r="BV22" s="54"/>
      <c r="BW22" s="54"/>
      <c r="BX22" s="54"/>
      <c r="BY22" s="54"/>
      <c r="BZ22" s="54"/>
      <c r="CA22" s="54"/>
      <c r="CB22" s="54"/>
      <c r="CC22" s="54"/>
      <c r="CD22" s="54"/>
      <c r="CE22" s="54"/>
      <c r="CF22" s="54"/>
      <c r="CG22" s="53"/>
    </row>
    <row r="23" spans="1:85" s="60" customFormat="1" ht="15.95" customHeight="1" x14ac:dyDescent="0.2">
      <c r="A23" s="52"/>
      <c r="B23" s="52"/>
      <c r="C23" s="52"/>
      <c r="D23" s="52"/>
      <c r="E23" s="52"/>
      <c r="F23" s="52"/>
      <c r="G23" s="59"/>
      <c r="H23" s="62"/>
      <c r="I23" s="58"/>
      <c r="J23" s="194"/>
      <c r="K23" s="57"/>
      <c r="L23" s="57"/>
      <c r="M23" s="56"/>
      <c r="N23" s="175"/>
      <c r="O23" s="175"/>
      <c r="P23" s="188"/>
      <c r="Q23" s="183"/>
      <c r="R23" s="57"/>
      <c r="S23" s="57"/>
      <c r="T23" s="56"/>
      <c r="U23" s="191"/>
      <c r="V23" s="191"/>
      <c r="W23" s="191"/>
      <c r="X23" s="55"/>
      <c r="Y23" s="55"/>
      <c r="Z23" s="55"/>
      <c r="AA23" s="55"/>
      <c r="AB23" s="55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/>
      <c r="BB23" s="54"/>
      <c r="BC23" s="54"/>
      <c r="BD23" s="54"/>
      <c r="BE23" s="54"/>
      <c r="BF23" s="54"/>
      <c r="BG23" s="54"/>
      <c r="BH23" s="54"/>
      <c r="BI23" s="54"/>
      <c r="BJ23" s="54"/>
      <c r="BK23" s="54"/>
      <c r="BL23" s="54"/>
      <c r="BM23" s="54"/>
      <c r="BN23" s="54"/>
      <c r="BO23" s="54"/>
      <c r="BP23" s="54"/>
      <c r="BQ23" s="54"/>
      <c r="BR23" s="54"/>
      <c r="BS23" s="54"/>
      <c r="BT23" s="54"/>
      <c r="BU23" s="54"/>
      <c r="BV23" s="54"/>
      <c r="BW23" s="54"/>
      <c r="BX23" s="54"/>
      <c r="BY23" s="54"/>
      <c r="BZ23" s="54"/>
      <c r="CA23" s="54"/>
      <c r="CB23" s="54"/>
      <c r="CC23" s="54"/>
      <c r="CD23" s="54"/>
      <c r="CE23" s="54"/>
      <c r="CF23" s="54"/>
      <c r="CG23" s="53"/>
    </row>
    <row r="24" spans="1:85" s="60" customFormat="1" ht="15.95" customHeight="1" x14ac:dyDescent="0.2">
      <c r="A24" s="52"/>
      <c r="B24" s="52"/>
      <c r="C24" s="52"/>
      <c r="D24" s="52"/>
      <c r="E24" s="52"/>
      <c r="F24" s="52"/>
      <c r="G24" s="59"/>
      <c r="H24" s="62"/>
      <c r="I24" s="58"/>
      <c r="J24" s="194"/>
      <c r="K24" s="57"/>
      <c r="L24" s="57"/>
      <c r="M24" s="56"/>
      <c r="N24" s="175"/>
      <c r="O24" s="175"/>
      <c r="P24" s="188"/>
      <c r="Q24" s="183"/>
      <c r="R24" s="57"/>
      <c r="S24" s="57"/>
      <c r="T24" s="56"/>
      <c r="U24" s="191"/>
      <c r="V24" s="191"/>
      <c r="W24" s="191"/>
      <c r="X24" s="55"/>
      <c r="Y24" s="55"/>
      <c r="Z24" s="55"/>
      <c r="AA24" s="55"/>
      <c r="AB24" s="55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/>
      <c r="BB24" s="54"/>
      <c r="BC24" s="54"/>
      <c r="BD24" s="54"/>
      <c r="BE24" s="54"/>
      <c r="BF24" s="54"/>
      <c r="BG24" s="54"/>
      <c r="BH24" s="54"/>
      <c r="BI24" s="54"/>
      <c r="BJ24" s="54"/>
      <c r="BK24" s="54"/>
      <c r="BL24" s="54"/>
      <c r="BM24" s="54"/>
      <c r="BN24" s="54"/>
      <c r="BO24" s="54"/>
      <c r="BP24" s="54"/>
      <c r="BQ24" s="54"/>
      <c r="BR24" s="54"/>
      <c r="BS24" s="54"/>
      <c r="BT24" s="54"/>
      <c r="BU24" s="54"/>
      <c r="BV24" s="54"/>
      <c r="BW24" s="54"/>
      <c r="BX24" s="54"/>
      <c r="BY24" s="54"/>
      <c r="BZ24" s="54"/>
      <c r="CA24" s="54"/>
      <c r="CB24" s="54"/>
      <c r="CC24" s="54"/>
      <c r="CD24" s="54"/>
      <c r="CE24" s="54"/>
      <c r="CF24" s="54"/>
      <c r="CG24" s="53"/>
    </row>
    <row r="25" spans="1:85" ht="15.95" customHeight="1" x14ac:dyDescent="0.2">
      <c r="H25" s="61"/>
    </row>
    <row r="28" spans="1:85" ht="15.95" customHeight="1" x14ac:dyDescent="0.2">
      <c r="A28" s="60"/>
      <c r="B28" s="60"/>
      <c r="C28" s="60"/>
      <c r="D28" s="60"/>
      <c r="E28" s="60"/>
      <c r="F28" s="60"/>
    </row>
    <row r="29" spans="1:85" ht="15.95" customHeight="1" x14ac:dyDescent="0.2">
      <c r="A29" s="60"/>
      <c r="B29" s="60"/>
      <c r="C29" s="60"/>
      <c r="D29" s="60"/>
      <c r="E29" s="60"/>
      <c r="F29" s="60"/>
    </row>
    <row r="30" spans="1:85" ht="15.95" customHeight="1" x14ac:dyDescent="0.2">
      <c r="A30" s="60"/>
      <c r="B30" s="60"/>
      <c r="C30" s="60"/>
      <c r="D30" s="60"/>
      <c r="E30" s="60"/>
      <c r="F30" s="60"/>
    </row>
    <row r="31" spans="1:85" ht="15.95" customHeight="1" x14ac:dyDescent="0.2">
      <c r="A31" s="60"/>
      <c r="B31" s="60"/>
      <c r="C31" s="60"/>
      <c r="D31" s="60"/>
      <c r="E31" s="60"/>
      <c r="F31" s="60"/>
    </row>
    <row r="32" spans="1:85" ht="15.95" customHeight="1" x14ac:dyDescent="0.2">
      <c r="A32" s="60"/>
      <c r="B32" s="60"/>
      <c r="C32" s="60"/>
      <c r="D32" s="60"/>
      <c r="E32" s="60"/>
      <c r="F32" s="60"/>
    </row>
    <row r="33" spans="1:6" ht="15.95" customHeight="1" x14ac:dyDescent="0.2">
      <c r="A33" s="60"/>
      <c r="B33" s="60"/>
      <c r="C33" s="60"/>
      <c r="D33" s="60"/>
      <c r="E33" s="60"/>
      <c r="F33" s="60"/>
    </row>
    <row r="34" spans="1:6" ht="15.95" customHeight="1" x14ac:dyDescent="0.2">
      <c r="A34" s="60"/>
      <c r="B34" s="60"/>
      <c r="C34" s="60"/>
      <c r="D34" s="60"/>
      <c r="E34" s="60"/>
      <c r="F34" s="60"/>
    </row>
  </sheetData>
  <sheetProtection password="9EFC" sheet="1" objects="1" scenarios="1" formatCells="0" formatColumns="0" formatRows="0" insertHyperlinks="0"/>
  <pageMargins left="0.25" right="0.25" top="0.5" bottom="0.5" header="0.5" footer="0.25"/>
  <pageSetup paperSize="8" scale="79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Scroll_Calendar">
              <controlPr defaultSize="0" print="0" autoPict="0" macro="[0]!Scroll_Calendar_Change">
                <anchor moveWithCells="1">
                  <from>
                    <xdr:col>28</xdr:col>
                    <xdr:colOff>28575</xdr:colOff>
                    <xdr:row>5</xdr:row>
                    <xdr:rowOff>28575</xdr:rowOff>
                  </from>
                  <to>
                    <xdr:col>31</xdr:col>
                    <xdr:colOff>161925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customUI/_rels/customUI.xml.rels><?xml version="1.0" encoding="UTF-8" standalone="yes"?>
<Relationships xmlns="http://schemas.openxmlformats.org/package/2006/relationships"><Relationship Id="EditTask64.png" Type="http://schemas.openxmlformats.org/officeDocument/2006/relationships/image" Target="images/EditTask64.png"/><Relationship Id="addtaskbelowselection.png" Type="http://schemas.openxmlformats.org/officeDocument/2006/relationships/image" Target="images/addtaskbelowselection.png"/><Relationship Id="AddGanttChart64.png" Type="http://schemas.openxmlformats.org/officeDocument/2006/relationships/image" Target="images/AddGanttChart64.png"/><Relationship Id="Upgrade64.png" Type="http://schemas.openxmlformats.org/officeDocument/2006/relationships/image" Target="images/Upgrade64.png"/><Relationship Id="GotoEnd.png" Type="http://schemas.openxmlformats.org/officeDocument/2006/relationships/image" Target="images/GotoEnd.png"/><Relationship Id="Settings64.png" Type="http://schemas.openxmlformats.org/officeDocument/2006/relationships/image" Target="images/Settings64.png"/><Relationship Id="GotoToday.png" Type="http://schemas.openxmlformats.org/officeDocument/2006/relationships/image" Target="images/GotoToday.png"/><Relationship Id="AddMilestone64.png" Type="http://schemas.openxmlformats.org/officeDocument/2006/relationships/image" Target="images/AddMilestone64.png"/><Relationship Id="MoreViews64.png" Type="http://schemas.openxmlformats.org/officeDocument/2006/relationships/image" Target="images/MoreViews64.png"/><Relationship Id="AddTask64.png" Type="http://schemas.openxmlformats.org/officeDocument/2006/relationships/image" Target="images/AddTask64.png"/><Relationship Id="addtaskatselection.png" Type="http://schemas.openxmlformats.org/officeDocument/2006/relationships/image" Target="images/addtaskatselection.png"/><Relationship Id="duplicate64.png" Type="http://schemas.openxmlformats.org/officeDocument/2006/relationships/image" Target="images/duplicate64.png"/><Relationship Id="Resources64.png" Type="http://schemas.openxmlformats.org/officeDocument/2006/relationships/image" Target="images/Resources64.png"/><Relationship Id="moveupblue16.png" Type="http://schemas.openxmlformats.org/officeDocument/2006/relationships/image" Target="images/moveupblue16.png"/><Relationship Id="WeeklyView64.png" Type="http://schemas.openxmlformats.org/officeDocument/2006/relationships/image" Target="images/Weekly64.png"/><Relationship Id="GotoStart.png" Type="http://schemas.openxmlformats.org/officeDocument/2006/relationships/image" Target="images/GotoStart.png"/><Relationship Id="Holidays64.png" Type="http://schemas.openxmlformats.org/officeDocument/2006/relationships/image" Target="images/Holidays64.png"/><Relationship Id="YearlyView64.png" Type="http://schemas.openxmlformats.org/officeDocument/2006/relationships/image" Target="images/YearlyView64.png"/><Relationship Id="editproject.png" Type="http://schemas.openxmlformats.org/officeDocument/2006/relationships/image" Target="images/editproject.png"/><Relationship Id="AddSection64.png" Type="http://schemas.openxmlformats.org/officeDocument/2006/relationships/image" Target="images/AddSection64.png"/><Relationship Id="makeparent16.png" Type="http://schemas.openxmlformats.org/officeDocument/2006/relationships/image" Target="images/makeparent16.png"/><Relationship Id="DailyView64.png" Type="http://schemas.openxmlformats.org/officeDocument/2006/relationships/image" Target="images/daily64.png"/><Relationship Id="QuarterlyView64.png" Type="http://schemas.openxmlformats.org/officeDocument/2006/relationships/image" Target="images/QuarterlyView64.png"/><Relationship Id="movedownblue16.png" Type="http://schemas.openxmlformats.org/officeDocument/2006/relationships/image" Target="images/movedownblue16.png"/><Relationship Id="About64.png" Type="http://schemas.openxmlformats.org/officeDocument/2006/relationships/image" Target="images/About64.png"/><Relationship Id="MonthlyView64.png" Type="http://schemas.openxmlformats.org/officeDocument/2006/relationships/image" Target="images/monthly64.png"/><Relationship Id="dash64.png" Type="http://schemas.openxmlformats.org/officeDocument/2006/relationships/image" Target="images/dash64.png"/><Relationship Id="deleteTask64.png" Type="http://schemas.openxmlformats.org/officeDocument/2006/relationships/image" Target="images/deleteTask64.png"/><Relationship Id="makechild16.png" Type="http://schemas.openxmlformats.org/officeDocument/2006/relationships/image" Target="images/makechild16.png"/><Relationship Id="HalfYearlyView64.png" Type="http://schemas.openxmlformats.org/officeDocument/2006/relationships/image" Target="images/HalfYearlyView64.png"/></Relationships>
</file>

<file path=customUI/customUI.xml><?xml version="1.0" encoding="utf-8"?>
<customUI xmlns="http://schemas.microsoft.com/office/2006/01/customui" onLoad="OnRibbonLoad">
  <ribbon startFromScratch="false">
    <tabs>
      <tab id="tabGantt" insertBeforeMso="TabHome" label="GANTT" keytip="G">
        <group id="grpGanttCharts" label="Gantt Charts">
          <button id="btnAddGanttChart" label="&amp;Add New Gantt Chart" onAction="OnActionButton" image="AddGanttChart64.png" getEnabled="GetEnabled" size="large" keytip="C" screentip="Adds a new Gantt Chart Worksheet"/>
          <button id="btnEditGanttChart" label="&amp;Edit Project Details" onAction="btnEditGanttChart" image="editproject.png" size="large" getEnabled="GetEnabled" keytip="P" screentip="Edits Gantt Chart"/>
        </group>
        <group id="grpDashboards" label="Dashboards">
          <button id="btnDashboard" label="Dashboard" onAction="btnDashboardRib" image="dash64.png" size="large" keytip="B" getEnabled="GetEnabled" screentip="Generates dashboard for the active gantt sheet"/>
        </group>
        <group id="grpCreateEditDelete" label="Tasks">
          <menu id="mnuAdd" label="Add Task" getEnabled="GetEnabled" image="AddTask64.png" size="large" itemSize="large" screentip="Add task" keytip="A">
            <button id="btnAddTaskAtSelection" label="&amp;At Selection" image="addtaskatselection.png" onAction="AddTaskAtSelection" getEnabled="GetEnabled"/>
            <button id="btnAddTaskBelowSelection" label="&amp;Below Selection" image="addtaskbelowselection.png" onAction="AddTaskBelowSelection" getEnabled="GetEnabled"/>
          </menu>
          <button id="btnSetMilestone" label="Add Milestone" onAction="AddMilestone" getEnabled="GetEnabled" image="AddMilestone64.png" size="large" keytip="M"/>
          <button id="btnEdit" label="Edit" onAction="EditTask" getEnabled="GetEnabled" image="EditTask64.png" screentip="Edit task" size="normal" keytip="E"/>
          <button id="btnDuplicate" label="Duplicate" screentip="Duplicates the selected task" image="duplicate64.png" onAction="DuplicateTaskRib" size="normal" getEnabled="GetEnabled" keytip="D"/>
          <button id="btnDelete" label="Delete" screentip="Delete task" image="deleteTask64.png" onAction="DeleteTask" size="normal" getEnabled="GetEnabled" keytip="X"/>
          <separator id="sepIndent"/>
          <button id="btnParent" label="Make Parent" size="normal" screentip="Makes a task as parent for the below tasks" supertip="Alt + Left Arrow" image="makeparent16.png" onAction="tIndentLeft" keytip="TP" getEnabled="GetEnabled"/>
          <button id="btnChild" label="Make Child" size="normal" screentip="Makes a task as child for the above task" supertip="Alt + Right Arrow" image="makechild16.png" onAction="tIndentRight" keytip="TC" getEnabled="GetEnabled"/>
          <separator id="sep1"/>
          <button id="btnMoveUp" label="Move Up" size="normal" screentip="Moves selection up" supertip="Alt + Up Arrow" image="moveupblue16.png" onAction="MoveUpAboveRib" keytip="TU" getEnabled="GetEnabled"/>
          <button id="btnMoveDown" label="Move Down" size="normal" screentip="Moves selection down" supertip="Alt + Down Arrow" image="movedownblue16.png" onAction="MoveDownBelowRib" keytip="TD" getEnabled="GetEnabled"/>
        </group>
        <group id="grpDisplay" label="Display">
          <button id="btnDaily" label="Daily View" onAction="DailyViewRib" getEnabled="GetEnabled" image="DailyView64.png" screentip="Daily View" size="large" keytip="VD"/>
          <button id="btnWeekly" label="Weekly View" onAction="WeeklyViewRib" getEnabled="GetEnabled" image="WeeklyView64.png" screentip="Weekly View" size="large" keytip="VW"/>
          <button id="btnMonthly" label="Monthly View" onAction="MonthlyViewRib" getEnabled="GetEnabled" image="MonthlyView64.png" screentip="Monthly View" size="large" keytip="VM"/>
          <menu id="mnuMoreViews" label="More Views" image="MoreViews64.png" size="large" itemSize="large" screentip="More Views" keytip="VE">
            <button id="btnQuarterlyView" label="&amp;Quarterly View" onAction="OnActionButton" image="QuarterlyView64.png" getEnabled="GetEnabled" screentip="Quarterly View"/>
            <button id="btnHalfYearlyView" label="&amp;Half Yearly View" onAction="OnActionButton" image="HalfYearlyView64.png" getEnabled="GetEnabled" screentip="Half Yearly View"/>
            <button id="btnYearlyView" label="&amp;Yearly View" onAction="OnActionButton" image="YearlyView64.png" getEnabled="GetEnabled" screentip="Yearly View"/>
          </menu>
          <separator id="sep2"/>
          <checkBox id="chkShowCompleted" label="Show Completed" onAction="OnActionCheckbox" getPressed="GetPressedCheckbox" getEnabled="GetEnabled" keytip="FC"/>
          <checkBox id="chkShowInProgress" label="Show In Progress" onAction="OnActionCheckbox" getPressed="GetPressedCheckbox" getEnabled="GetEnabled" keytip="FI"/>
          <checkBox id="chkShowPlanned" label="Show Planned" onAction="OnActionCheckbox" getPressed="GetPressedCheckbox" getEnabled="GetEnabled" keytip="FP"/>
          <separator id="sep3"/>
          <button id="btnGotoStart" label="Scroll to Start" onAction="GotoStartRib" getEnabled="GetEnabled" image="GotoStart.png" screentip="Scroll to earliest task estimated start Date" keytip="SS" size="large"/>
          <button id="btnGotoToday" label="Scroll to Today" onAction="GotoTodayRib" getEnabled="GetEnabled" image="GotoToday.png" screentip="Scroll to today" keytip="ST" size="large"/>
          <button id="btnGotoEnd" label="Scroll to End" onAction="GotoEndRib" getEnabled="GetEnabled" image="GotoEnd.png" keytip="SE" screentip="Scroll to latest task estimated start Date" size="large"/>
          <separator id="sep4"/>
          <checkBox id="chkEnableGrouping" label="Enable Grouping" onAction="OnActionCheckbox" getPressed="GetPressedCheckbox" getEnabled="GetEnabled"/>
          <button id="btnExpandAllGroups" label="Expand Groups" size="normal" screentip="Expands a collapsed group of cells" imageMso="OutlineShowDetail" onAction="OutlineShowDetailRib" getEnabled="GetEnabled"/>
          <button id="btnCollapseAllGroups" label="Collapse Groups" size="normal" screentip="Collapse group of cells" imageMso="OutlineHideDetail" onAction="OutlineHideDetailRib" getEnabled="GetEnabled"/>
          <separator id="sep5"/>
          <button id="btnSetRowHeight" label="Row Height" size="normal" screentip="Sets row height for all tasks" imageMso="RowHeight" onAction="SetRowHeightRib" getEnabled="GetEnabled"/>
          <button id="btnSetColumnWidth" label="Column Width" size="normal" screentip="Sets row height for selected column" imageMso="ColumnWidth" onAction="SetColumnWidthRib" getEnabled="GetEnabled"/>
          <button idMso="ColumnWidthAutoFit" size="normal" label="Autofit Column Width" onAction="OnActionButton" getEnabled="GetEnabled"/>
        </group>
        <group id="Upgrade" label=" " getVisible="GetVisible">
          <button id="btnUpgrade" size="large" getLabel="getlabelF" image="Upgrade64.png" onAction="UpgradeLicense" getVisible="GetVisible" getEnabled="GetEnabled"/>
        </group>
        <group id="grpSettings" label="Settings">
          <button id="btnResources" size="large" label="Resources" image="Resources64.png" onAction="ShowResources" getEnabled="GetEnabled" keytip="R"/>
          <button id="btnHolidays" size="large" label="Holidays" image="Holidays64.png" onAction="ShowHolidayList" keytip="H" getEnabled="GetEnabled"/>
          <button id="btnSettings" size="large" label="Settings" image="Settings64.png" onAction="ShowSettings" keytip="N" getEnabled="GetEnabled"/>
        </group>
        <group id="grpAboutGanttExcel" label="GanttExcel">
          <button id="btnAbout" label="About" screentip="About Gantt Excel" image="About64.png" keytip="O" onAction="AboutPopUpRib" size="larg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Help</vt:lpstr>
      <vt:lpstr>Project Plan</vt:lpstr>
      <vt:lpstr>DashboardTemplate!Print_Area</vt:lpstr>
      <vt:lpstr>DashboardTemplate!Print_Titles</vt:lpstr>
    </vt:vector>
  </TitlesOfParts>
  <Company>GanttExcel.Com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Gantt Excel Template</dc:title>
  <dc:creator>ganttexcel.com</dc:creator>
  <cp:keywords>Project Timeline</cp:keywords>
  <cp:lastModifiedBy>Trainer 2</cp:lastModifiedBy>
  <cp:revision>2</cp:revision>
  <cp:lastPrinted>2016-09-14T12:04:46Z</cp:lastPrinted>
  <dcterms:created xsi:type="dcterms:W3CDTF">2016-09-10T13:03:48Z</dcterms:created>
  <dcterms:modified xsi:type="dcterms:W3CDTF">2017-08-21T06:21:20Z</dcterms:modified>
  <cp:category>Excel Template</cp:category>
  <cp:version>2.49.8</cp:version>
</cp:coreProperties>
</file>