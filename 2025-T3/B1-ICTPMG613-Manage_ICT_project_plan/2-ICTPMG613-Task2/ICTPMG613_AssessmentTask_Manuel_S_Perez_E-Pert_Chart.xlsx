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annsee/Documents/Assessments/2025-T3/T3B1-ICTPMG613-Manage_ICT_project_plan/2-ICTPMG613-Task2/"/>
    </mc:Choice>
  </mc:AlternateContent>
  <xr:revisionPtr revIDLastSave="0" documentId="13_ncr:1_{6D016FD6-AF2F-B346-A3B4-93D4CBEF154D}" xr6:coauthVersionLast="47" xr6:coauthVersionMax="47" xr10:uidLastSave="{00000000-0000-0000-0000-000000000000}"/>
  <bookViews>
    <workbookView xWindow="0" yWindow="660" windowWidth="23260" windowHeight="17660" activeTab="4" xr2:uid="{2E7573F3-6188-4FA9-9041-50436B486355}"/>
  </bookViews>
  <sheets>
    <sheet name="Chart" sheetId="1" r:id="rId1"/>
    <sheet name="k-Milestones" sheetId="2" r:id="rId2"/>
    <sheet name="QA-baseline" sheetId="7" r:id="rId3"/>
    <sheet name="k-Dependences" sheetId="3" r:id="rId4"/>
    <sheet name="Change-control" sheetId="4" r:id="rId5"/>
    <sheet name="Comms-control" sheetId="5" r:id="rId6"/>
    <sheet name="Comms-directory" sheetId="6" r:id="rId7"/>
    <sheet name="WBS-DIC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2" i="1"/>
</calcChain>
</file>

<file path=xl/sharedStrings.xml><?xml version="1.0" encoding="utf-8"?>
<sst xmlns="http://schemas.openxmlformats.org/spreadsheetml/2006/main" count="483" uniqueCount="430">
  <si>
    <t>Activity</t>
  </si>
  <si>
    <t>Dependence</t>
  </si>
  <si>
    <t>Risks</t>
  </si>
  <si>
    <t>None</t>
  </si>
  <si>
    <t>1. Develop Project Charter</t>
  </si>
  <si>
    <t>2. Submit Project Charters</t>
  </si>
  <si>
    <t>3. Review and approve Project Charters</t>
  </si>
  <si>
    <t>4. Create Preliminary Scope Statement</t>
  </si>
  <si>
    <t>5. Determine project teams</t>
  </si>
  <si>
    <t>6. Conduct kickoff meetings</t>
  </si>
  <si>
    <t>7. Develop comprehensive project plans</t>
  </si>
  <si>
    <t>8. Submit and approve project plans</t>
  </si>
  <si>
    <t>9. Research cloud platform providers</t>
  </si>
  <si>
    <t>10. Select cloud provider and sign contract</t>
  </si>
  <si>
    <t>11. Evaluate legacy databases and core applications</t>
  </si>
  <si>
    <t>12. Evaluate infrastructure configurations and scalability options</t>
  </si>
  <si>
    <t>13. Select cloud infrastructure configuration</t>
  </si>
  <si>
    <t>11,12</t>
  </si>
  <si>
    <t>14. Acquire necessary licenses</t>
  </si>
  <si>
    <t>15. Create and validate legacy database backups</t>
  </si>
  <si>
    <t>17. Migrate databases to the cloud</t>
  </si>
  <si>
    <t>18. Validate and test migrated data</t>
  </si>
  <si>
    <t>19. Configure cloud infrastructure</t>
  </si>
  <si>
    <t>20. Implement scalability and fault tolerance</t>
  </si>
  <si>
    <t>21. Test cloud infrastructure</t>
  </si>
  <si>
    <t>22. Design native versions of core applications</t>
  </si>
  <si>
    <t>18,21</t>
  </si>
  <si>
    <t>23. Develop and deploy core applications to cloud</t>
  </si>
  <si>
    <t>24. Perform performance and functional testing</t>
  </si>
  <si>
    <t>25. Apply vendor-recommended security configurations</t>
  </si>
  <si>
    <t>26. Conduct system-wide testing and make adjustments</t>
  </si>
  <si>
    <t>24,25</t>
  </si>
  <si>
    <t>27. Research hardware providers</t>
  </si>
  <si>
    <t>28. Select hardware provider and sign contract</t>
  </si>
  <si>
    <t>29. Evaluate and select hardware configurations</t>
  </si>
  <si>
    <t>30. Select and contract VPN provider</t>
  </si>
  <si>
    <t>31. Configure access control and authentication</t>
  </si>
  <si>
    <t>32. Test remote connectivity</t>
  </si>
  <si>
    <t>33. Receive and inventory new work devices</t>
  </si>
  <si>
    <t>34. Install OS, software, and security tools</t>
  </si>
  <si>
    <t>35. Distribute and configure devices for staff</t>
  </si>
  <si>
    <t>34,32</t>
  </si>
  <si>
    <t>36. Design modular training programs</t>
  </si>
  <si>
    <t>37. Prepare user manuals and reference guides</t>
  </si>
  <si>
    <t>36,37</t>
  </si>
  <si>
    <t>39. Collect and evaluate feedback</t>
  </si>
  <si>
    <t>40. Define product backlog and story points</t>
  </si>
  <si>
    <t>Ninguna (inicio Scrum)</t>
  </si>
  <si>
    <t>42. Plan Sprints and define goals</t>
  </si>
  <si>
    <t>43. Research technologies and frameworks</t>
  </si>
  <si>
    <t>45. Design web mockups and adjust with client</t>
  </si>
  <si>
    <t>46. Choose technologies and acquire licenses</t>
  </si>
  <si>
    <t>47. UI/UX design</t>
  </si>
  <si>
    <t>45,46</t>
  </si>
  <si>
    <t>48. Frontend development</t>
  </si>
  <si>
    <t>47,44</t>
  </si>
  <si>
    <t>49. Backend development</t>
  </si>
  <si>
    <t>50. Functionality and usability testing</t>
  </si>
  <si>
    <t>48,49</t>
  </si>
  <si>
    <t>51. Track changes and resource allocation</t>
  </si>
  <si>
    <t>52. Present Sprint results to client</t>
  </si>
  <si>
    <t>53. Collect feedback and list changes</t>
  </si>
  <si>
    <t>54. Analyse Sprint performance and identify improvements</t>
  </si>
  <si>
    <t>55. Conduct final testing</t>
  </si>
  <si>
    <t>56. Obtain final client approval</t>
  </si>
  <si>
    <t>57. Deploy site to production</t>
  </si>
  <si>
    <t>58. Apply security policies</t>
  </si>
  <si>
    <t>59. Perform security and general testing</t>
  </si>
  <si>
    <t>60. Create technical documentation and user guides</t>
  </si>
  <si>
    <t>61. Train client’s marketing team</t>
  </si>
  <si>
    <t>62. Close website development project</t>
  </si>
  <si>
    <t>63. Hold status meetings for both projects</t>
  </si>
  <si>
    <t>Continuas</t>
  </si>
  <si>
    <t>64. Perform risk management activities</t>
  </si>
  <si>
    <t>65. Update project management plans</t>
  </si>
  <si>
    <t>66. Audit procurement and security policies</t>
  </si>
  <si>
    <t>67. Document lessons learned</t>
  </si>
  <si>
    <t>68. Update and archive project files</t>
  </si>
  <si>
    <t>69. Gain formal acceptance from client</t>
  </si>
  <si>
    <t>68,62</t>
  </si>
  <si>
    <t>Delays in internal review</t>
  </si>
  <si>
    <t>Incomplete or changing requirements</t>
  </si>
  <si>
    <t>Limited staff availability</t>
  </si>
  <si>
    <t>Complexity and insufficient documentation</t>
  </si>
  <si>
    <t>Delays in the purchasing process</t>
  </si>
  <si>
    <t>Migration errors, loss of integrity</t>
  </si>
  <si>
    <t>Incorrect configuration, vulnerabilities</t>
  </si>
  <si>
    <t>Configuration failures, compatibility issues</t>
  </si>
  <si>
    <t>Incomplete testing, lack of testing resources</t>
  </si>
  <si>
    <t>Incompatibilities, omission of key policies</t>
  </si>
  <si>
    <t>Unstable connectivity, non-functional VPN</t>
  </si>
  <si>
    <t>Installation failures, missing licenses</t>
  </si>
  <si>
    <t>Incomplete manuals, documentation errors</t>
  </si>
  <si>
    <t>Low support, lack of training resources</t>
  </si>
  <si>
    <t>Poor effort calculation, misalignment</t>
  </si>
  <si>
    <t>Poorly designed sprint, unclear goals</t>
  </si>
  <si>
    <t>Constant changes, poor customer feedback</t>
  </si>
  <si>
    <t>Visual bugs, integration errors</t>
  </si>
  <si>
    <t>Vague or contradictory feedback</t>
  </si>
  <si>
    <t>Backlog of problems, unresolved bugs</t>
  </si>
  <si>
    <t>Last-minute changes, lack of agreement</t>
  </si>
  <si>
    <t>Undetected vulnerabilities, insufficient testing</t>
  </si>
  <si>
    <t>Incomplete or outdated documentation</t>
  </si>
  <si>
    <t>Resistance to change, low support</t>
  </si>
  <si>
    <t>Low participation, lack of follow-up</t>
  </si>
  <si>
    <t>Lack of alignment with stakeholders</t>
  </si>
  <si>
    <t>Non-compliance, audit errors</t>
  </si>
  <si>
    <t>Loss of information, unbacked-up files</t>
  </si>
  <si>
    <t>Client not satisfied with deliverables</t>
  </si>
  <si>
    <t>Delays in client approval</t>
  </si>
  <si>
    <t>O</t>
  </si>
  <si>
    <t>M</t>
  </si>
  <si>
    <t>P</t>
  </si>
  <si>
    <t>E</t>
  </si>
  <si>
    <t>Dev</t>
  </si>
  <si>
    <t>Inadequate content, low acceptance, too much material to cover, complexity of the material, technical language</t>
  </si>
  <si>
    <t>16. Normalise and prepare data for migration</t>
  </si>
  <si>
    <t>38. Organise and conduct training sessions</t>
  </si>
  <si>
    <t>41. Prioritise tasks and estimate effort</t>
  </si>
  <si>
    <t>Limited feedback, low participation, scattered feedback</t>
  </si>
  <si>
    <t>Ambiguous or changing requirements, budget constraints, lack of technology experience, issues with legacy applications</t>
  </si>
  <si>
    <t>Inadequate or incompatible technology, lack of legacy documentation</t>
  </si>
  <si>
    <t>44. Design database connection</t>
  </si>
  <si>
    <t>Connection failures or failed tests, incompatibility, security breaches</t>
  </si>
  <si>
    <t>Hidden maintenance and operating costs, legal delays, periodic subscriptions, cost of personal certifications</t>
  </si>
  <si>
    <t>Security breaches, poor coding practices, poor application performance, excessive resource consumption</t>
  </si>
  <si>
    <t>Failed tests</t>
  </si>
  <si>
    <t>Lack of follow-up, cost overruns, excessive workload, lack of internal training</t>
  </si>
  <si>
    <t>Client delays, short meetings, insufficient feedback</t>
  </si>
  <si>
    <t>Failure to identify critical bugs, overestimated development</t>
  </si>
  <si>
    <t>Incomplete configurations, access errors, overly strict security policies, delays in adopting security policies</t>
  </si>
  <si>
    <t>Implementation failures, server problems, very strong security integration makes integration tedious</t>
  </si>
  <si>
    <t>Incomplete documentation or deliverables, unmet expectations</t>
  </si>
  <si>
    <t>Late risk identification, unknown legal risks</t>
  </si>
  <si>
    <t>Unhelpful or poorly documented lessons, inappropriate tool,</t>
  </si>
  <si>
    <t>Lack of support or team-experience, lack of leadership</t>
  </si>
  <si>
    <t>Insufficient information, delays, tight budget</t>
  </si>
  <si>
    <t>Delays in feedback and approval, delays in delivering the budget</t>
  </si>
  <si>
    <t>Lack of suitable options, Hidden costs, required licenses, poor support in the region, poor support worldwide</t>
  </si>
  <si>
    <t>Long negotiations, legal conditions, inadequate attention to contract details and supplier selection, legal or financial risks</t>
  </si>
  <si>
    <t>Rapid changes in technology, not covering all possible scenarios</t>
  </si>
  <si>
    <t>Lack of suitable options, costs, delays</t>
  </si>
  <si>
    <t>Inconsistent or incomplete data, corrupting data as a result of inadequate backup procedures</t>
  </si>
  <si>
    <t>Migration failures, system outages, loss of information and data integrity</t>
  </si>
  <si>
    <t>Performance issues, tolerance failures, not covering all possible scenarios</t>
  </si>
  <si>
    <t>Critical bugs, integration errors, loss of information, Difficulty replicating the same functions in the new system</t>
  </si>
  <si>
    <t>Negotiation delays, stock shortages, inadequate attention to contract details and supplier selection, legal or financial risks</t>
  </si>
  <si>
    <t>Understanding requirements, and lack of software functionalities </t>
  </si>
  <si>
    <t>Backup failures, data loss, lack of storage space </t>
  </si>
  <si>
    <t>Poorly defined requirements, Idealising solutions that cannot be implemented, Inaccurate estimate</t>
  </si>
  <si>
    <t>Integrated problems, failed final tests, system failures due to adjustments, impacting operational tasks</t>
  </si>
  <si>
    <t>Options Limited availability, availability issues, limited options and insufficient information, market reliability and stability, warranty compliance </t>
  </si>
  <si>
    <t>Technical incompatibilities, poor selection leading to costs associated with reinvesting in improved hardware</t>
  </si>
  <si>
    <t>Technical restrictions, contractual delays, coordination issues with the supplier leading to cost overruns</t>
  </si>
  <si>
    <t>Incorrect configuration, unauthorised access</t>
  </si>
  <si>
    <t>Shipping delays, unit shortages, mistakes in logging and handling new devices</t>
  </si>
  <si>
    <t>Logistical issues, delays and increased costs due to employee training, hardware incompatibility</t>
  </si>
  <si>
    <t>Unintuitive design, lack of client commitment</t>
  </si>
  <si>
    <t>Project Charters Approved</t>
  </si>
  <si>
    <t>Kickoff Meetings Conducted</t>
  </si>
  <si>
    <t>Project Plans Approved</t>
  </si>
  <si>
    <t>Cloud Provider Contract Signed</t>
  </si>
  <si>
    <t>Cloud Infrastructure Configured</t>
  </si>
  <si>
    <t>Databases Successfully Migrated</t>
  </si>
  <si>
    <t>Core Applications Deployed to Cloud</t>
  </si>
  <si>
    <t>Devices Distributed and Configured</t>
  </si>
  <si>
    <t>Training Completed</t>
  </si>
  <si>
    <t>First Sprint Completed &amp; Reviewed</t>
  </si>
  <si>
    <t>Website Deployed to Production</t>
  </si>
  <si>
    <t>Formal Project Closure</t>
  </si>
  <si>
    <t>No.</t>
  </si>
  <si>
    <t>Milestone</t>
  </si>
  <si>
    <t>Depedency</t>
  </si>
  <si>
    <t>Gain Formal Acceptance of Project Charter</t>
  </si>
  <si>
    <t>Gain Formal Acceptance of Scope Statement</t>
  </si>
  <si>
    <t>Gain Formal Acceptance of Project Plans</t>
  </si>
  <si>
    <t>Formal budget obtaining</t>
  </si>
  <si>
    <t>Select Cloud Provider and Sign Contract</t>
  </si>
  <si>
    <t>Migrate Databases to a Cloud platform</t>
  </si>
  <si>
    <t>Develop and Deploy Core Applications to Cloud platform</t>
  </si>
  <si>
    <t>Perform System-Wide Testing</t>
  </si>
  <si>
    <t>Select work devices Provider and Sign Contract</t>
  </si>
  <si>
    <t>Configure Work Devices</t>
  </si>
  <si>
    <t>Gain Formal Acceptance of website functionalities</t>
  </si>
  <si>
    <t>Conduct Final Testing: IT infrastructure and website, and remote connection</t>
  </si>
  <si>
    <t>Due Date</t>
  </si>
  <si>
    <t>Description</t>
  </si>
  <si>
    <t>All design, software, and hardware proposals were accepted by the client.</t>
  </si>
  <si>
    <t>The transition dates to the cloud, as well as the acquisition of licenses, software, and hardware, were carried out in coordination with the client.</t>
  </si>
  <si>
    <t>The Project Plan was approved by the client.</t>
  </si>
  <si>
    <t>The cloud service provider accepted and signed the contract of obligations for this project.</t>
  </si>
  <si>
    <t>The environment was successfully configured in the cloud, and all necessary access rights and permissions to the administration console were also set up.</t>
  </si>
  <si>
    <t>The cloud infrastructure and core applications passed integration, load, functionality, and security/attack tests.</t>
  </si>
  <si>
    <t>All laptops, desktops, and iPads were configured with the requested software and remote/cloud connection tools, and were successfully delivered.</t>
  </si>
  <si>
    <t>All training materials and resources were provided, and all training sessions were successfully completed by the client’s employees.</t>
  </si>
  <si>
    <t>Client feedback was received regarding all designs and changes, and work continues with the second sprint.</t>
  </si>
  <si>
    <t>The website was deployed, and load testing, functionality testing, and security/attack testing were successfully completed.</t>
  </si>
  <si>
    <t>The project is now completed and closed. All cloud infrastructure, core applications, and the website are ready for production use.</t>
  </si>
  <si>
    <t>Step</t>
  </si>
  <si>
    <t>Proccess</t>
  </si>
  <si>
    <t>Responsible</t>
  </si>
  <si>
    <t>Identify the need for a change</t>
  </si>
  <si>
    <t>Any Stakeholder</t>
  </si>
  <si>
    <t>Log change in the change request register</t>
  </si>
  <si>
    <t>Project Manager</t>
  </si>
  <si>
    <t>Conduct an evaluation of the change</t>
  </si>
  <si>
    <t>The project manager will conduct an evaluation of the impact of the change to cost, risk, schedule, and scope</t>
  </si>
  <si>
    <t>Project Manager, Project Team, Requestor</t>
  </si>
  <si>
    <t>Submit change request to Change Control Board (CCB)</t>
  </si>
  <si>
    <t>The project manager will submit the change request and analysis to the CCB for review</t>
  </si>
  <si>
    <t>Change Control Board decision (CCB)</t>
  </si>
  <si>
    <t>The CCB will discuss the proposed change and decide whether or not it will be approved based on all submitted information</t>
  </si>
  <si>
    <t>Implement change</t>
  </si>
  <si>
    <t>If a change is approved by the CCB, the project manager will update and re-baseline project documentation as necessary as well as ensure any changes are communicated to the team and stakeholders</t>
  </si>
  <si>
    <t>The project manager will maintain a log of all change requests for the duration of the project</t>
  </si>
  <si>
    <t>CCB</t>
  </si>
  <si>
    <t>Requestor will submit a completed IT Biz Solutions change request form to the project manager</t>
  </si>
  <si>
    <t>Any member of IT Biz Solutions</t>
  </si>
  <si>
    <t>The requester will meet with the Project Manager to discuss the change proposal before submitting a change request.</t>
  </si>
  <si>
    <t>Requestor will submit a completed IT Biz Solutions change request form to the project manager. The requester will meet with the Project Manager to discuss the proposed change before submitting a change request. Alternatives will also be considered, seeking the lowest possible impact.</t>
  </si>
  <si>
    <t>Team planning</t>
  </si>
  <si>
    <t>Communication Type</t>
  </si>
  <si>
    <t>Frequency</t>
  </si>
  <si>
    <t>Format</t>
  </si>
  <si>
    <t>Participants/ Distribution</t>
  </si>
  <si>
    <t>Deliverable</t>
  </si>
  <si>
    <t>Owner</t>
  </si>
  <si>
    <t>Weekly Status Report</t>
  </si>
  <si>
    <t>Email summary of project status</t>
  </si>
  <si>
    <t>Weekly</t>
  </si>
  <si>
    <t>Email</t>
  </si>
  <si>
    <t>Project Sponsor, Team and Stakeholders</t>
  </si>
  <si>
    <t>Status Report</t>
  </si>
  <si>
    <t>Weekly Project Team Meeting</t>
  </si>
  <si>
    <t>Meeting to review action register and status</t>
  </si>
  <si>
    <t>In Person</t>
  </si>
  <si>
    <t>Project Team</t>
  </si>
  <si>
    <t>Updated Action Register</t>
  </si>
  <si>
    <t>Project Monthly Review (PMR)</t>
  </si>
  <si>
    <t>Present metrics and status to team and sponsor</t>
  </si>
  <si>
    <t>Monthly</t>
  </si>
  <si>
    <t>Project Sponsor, Team, and Stakeholders</t>
  </si>
  <si>
    <t>Status and Metric Presentation</t>
  </si>
  <si>
    <t>Project Gate Reviews</t>
  </si>
  <si>
    <t>Present closeout of project phases and kickoff next phase</t>
  </si>
  <si>
    <t>As Needed</t>
  </si>
  <si>
    <t>Phase completion report and phase kickoff</t>
  </si>
  <si>
    <t>Technical Design Review</t>
  </si>
  <si>
    <t>Name</t>
  </si>
  <si>
    <t>Title</t>
  </si>
  <si>
    <t>E mail</t>
  </si>
  <si>
    <t>Office Phone</t>
  </si>
  <si>
    <t>Cell Phone</t>
  </si>
  <si>
    <t>Project Sponsor</t>
  </si>
  <si>
    <t>Review of any technical specialist hardware/software or work associated with the project</t>
  </si>
  <si>
    <t>Demo, Art-concep, Mock-ups Package</t>
  </si>
  <si>
    <t>Judith Lee</t>
  </si>
  <si>
    <t>Manuel Sergio Perez E</t>
  </si>
  <si>
    <t>Senior IT Project Manager</t>
  </si>
  <si>
    <t>Richard Kuoch</t>
  </si>
  <si>
    <t>Project Oversight Mentor</t>
  </si>
  <si>
    <t>Roland Morris</t>
  </si>
  <si>
    <t>Assistant Project Manager</t>
  </si>
  <si>
    <t>Zakary Pineda</t>
  </si>
  <si>
    <t>Hardware Specialist</t>
  </si>
  <si>
    <t>Dani Chen</t>
  </si>
  <si>
    <t>Software Specialist</t>
  </si>
  <si>
    <t>Ben Nguyen</t>
  </si>
  <si>
    <t>Project Assistant</t>
  </si>
  <si>
    <t>Ishtar Kahn</t>
  </si>
  <si>
    <t>Business Owner</t>
  </si>
  <si>
    <t>Susan Morgan</t>
  </si>
  <si>
    <t>Customer Service Manager</t>
  </si>
  <si>
    <t>manuel.perez@itbizsolutions.com</t>
  </si>
  <si>
    <t>richard.kuoch@itbizsolutions.com</t>
  </si>
  <si>
    <t>roland.morris@itbizsolutions.com</t>
  </si>
  <si>
    <t>zakary.pineda@itbizsolutions.com</t>
  </si>
  <si>
    <t>dani.chen@itbizsolutions.com</t>
  </si>
  <si>
    <t>ben.nguyen@itbizsolutions.com</t>
  </si>
  <si>
    <t>judith.lee@boutiquebuild.com.au</t>
  </si>
  <si>
    <t>ishtar.kahn@boutiquebuild.com.au</t>
  </si>
  <si>
    <t>0413 782 940</t>
  </si>
  <si>
    <t>0421 665 378</t>
  </si>
  <si>
    <t>0468 209 451</t>
  </si>
  <si>
    <t>0415 937 824</t>
  </si>
  <si>
    <t>0423 118 509</t>
  </si>
  <si>
    <t>0456 774 293</t>
  </si>
  <si>
    <t>0417 503 682</t>
  </si>
  <si>
    <t>0428 916 450</t>
  </si>
  <si>
    <t>0469 331 725</t>
  </si>
  <si>
    <t>(03) 9000 1001 #201</t>
  </si>
  <si>
    <t>(03) 9000 1002 #202</t>
  </si>
  <si>
    <t>(03) 9000 1003 #203</t>
  </si>
  <si>
    <t>(03) 9000 1004 #204</t>
  </si>
  <si>
    <t>(03)  9000 1005 #205</t>
  </si>
  <si>
    <t>(03) 9000 1006 #206</t>
  </si>
  <si>
    <t>(02) 8000 2001 #301</t>
  </si>
  <si>
    <t>(02) 8000 2002 #302</t>
  </si>
  <si>
    <t>(02) 8000 2003 #303</t>
  </si>
  <si>
    <t>susan.mor@boutiquebuild.com.au</t>
  </si>
  <si>
    <t>New Cloud-Based IT Infrastructure with Scalable, Fault-Tolerant Core Applications</t>
  </si>
  <si>
    <t>Infrastructure fully configured, operational, and fault-tolerant; core applications meet performance, security, and functionality standards</t>
  </si>
  <si>
    <t>Zero critical failures; maximum of 2 minor configuration or performance issues</t>
  </si>
  <si>
    <t>Modern, High-Quality, Engaging, and Stylish Website</t>
  </si>
  <si>
    <t>Website meets usability, design, and performance standards; fully functional with no critical bugs; load times optimized</t>
  </si>
  <si>
    <t>Zero critical defects; maximum of 5 minor defects; page load time ≤ 3 seconds</t>
  </si>
  <si>
    <t>Remote Access Tools and Fully Distributed Work Devices</t>
  </si>
  <si>
    <t>All devices correctly configured and connected; remote access tools fully functional and secure</t>
  </si>
  <si>
    <t>Zero critical connectivity failures; maximum 5% minor configuration issues</t>
  </si>
  <si>
    <t>Comprehensive Documentation and Training</t>
  </si>
  <si>
    <t>All documentation complete, accurate, and understandable; staff training delivered and effective</t>
  </si>
  <si>
    <t>Minimum 90% staff satisfaction; maximum 5% minor documentation errors</t>
  </si>
  <si>
    <t>QA Indicator</t>
  </si>
  <si>
    <t>Acceptable Level</t>
  </si>
  <si>
    <t>Level</t>
  </si>
  <si>
    <t>WBS Code</t>
  </si>
  <si>
    <t>Element Name</t>
  </si>
  <si>
    <t>Definition</t>
  </si>
  <si>
    <t>Modernisation of systems and Building a modern Website</t>
  </si>
  <si>
    <t>Overall project that integrates IT systems modernisation and the design, implementation of a modern corporate website. Includes initiation, planning, execution, control, and closeout activities.</t>
  </si>
  <si>
    <t>Initiation</t>
  </si>
  <si>
    <t>Defines the project’s foundation, objectives, and approval to proceed. Includes evaluation, recommendations, and development of project charters.</t>
  </si>
  <si>
    <t>1.1.1</t>
  </si>
  <si>
    <t>Evaluation &amp; Recommendations</t>
  </si>
  <si>
    <t>Conducts feasibility analysis, identifies current gaps in IT systems and web presence, and proposes modernization approaches. Includes work hours for all project team members.</t>
  </si>
  <si>
    <t>1.1.2</t>
  </si>
  <si>
    <t>Develop Project Charter for each project</t>
  </si>
  <si>
    <t>Creation of formal project charters authorizing resources and defining scope, goals, risks, and assumptions for both the systems and website projects.</t>
  </si>
  <si>
    <t>Planning</t>
  </si>
  <si>
    <t>Establishes the roadmap for execution. Includes defining scope, identifying resources, kickoff meetings, and developing a consolidated project plan.</t>
  </si>
  <si>
    <t>1.2.1</t>
  </si>
  <si>
    <t>Create Preliminary Scope Statement</t>
  </si>
  <si>
    <t>Develops initial scope boundaries for both projects, identifying deliverables, exclusions, and assumptions.</t>
  </si>
  <si>
    <t>1.2.2</t>
  </si>
  <si>
    <t>Determine Project Team for each project</t>
  </si>
  <si>
    <t>Assigns roles and responsibilities across both initiatives. Includes allocation of staff, project manager, technical leads, and developers.</t>
  </si>
  <si>
    <t>1.2.3</t>
  </si>
  <si>
    <t>Team Modernisation of systems Kickoff Meeting</t>
  </si>
  <si>
    <t>Initial meeting to align stakeholders and team members for the system modernization project.</t>
  </si>
  <si>
    <t>1.2.4</t>
  </si>
  <si>
    <t>Team Building a Modern website Kickoff Meeting</t>
  </si>
  <si>
    <t>Initial meeting to align stakeholders and team members for the website project.</t>
  </si>
  <si>
    <t>1.2.5</t>
  </si>
  <si>
    <t>Develop Project Plan for both projects</t>
  </si>
  <si>
    <t>Consolidated planning including scope, schedule, cost baseline, risk management, communication plan, and quality baseline.</t>
  </si>
  <si>
    <t>Execution</t>
  </si>
  <si>
    <t>Execution of both projects, delivering IT modernization and a modern website. Involves infrastructure deployment, device rollout, sprint-based website development, and training.</t>
  </si>
  <si>
    <t>1.3.1</t>
  </si>
  <si>
    <t>Official start of execution phase for IT modernization. Aligns tasks, resources, and schedules.</t>
  </si>
  <si>
    <t>1.3.1.1</t>
  </si>
  <si>
    <t>Implementation of new IT infrastructure to the cloud</t>
  </si>
  <si>
    <t>Deploys a scalable and secure cloud infrastructure including core applications, databases, and fault-tolerant services.</t>
  </si>
  <si>
    <t>1.3.1.2</t>
  </si>
  <si>
    <t>New work devices and implement remote access tools</t>
  </si>
  <si>
    <t>Distribution of configured devices (laptops, workstations) and secure remote access tools for staff connectivity.</t>
  </si>
  <si>
    <t>1.3.2</t>
  </si>
  <si>
    <t>Official start of execution for the website development project, introducing the Scrum-based workflow.</t>
  </si>
  <si>
    <t>1.3.2.2</t>
  </si>
  <si>
    <t>Sprint Execution (Iteration)</t>
  </si>
  <si>
    <t>Iterative development cycles for website features (design, functionality, UX/UI). Regular review and refinement included.</t>
  </si>
  <si>
    <t>1.3.2.4</t>
  </si>
  <si>
    <t>Documentation and training</t>
  </si>
  <si>
    <t>Prepares user manuals, technical documentation, and conducts staff training to ensure adoption and operational continuity.</t>
  </si>
  <si>
    <t>1.3.2.5</t>
  </si>
  <si>
    <t>Develop Building website closure</t>
  </si>
  <si>
    <t>Final deliverables for website completion including performance validation, brand alignment, and approval for release.</t>
  </si>
  <si>
    <t>Control</t>
  </si>
  <si>
    <t>Monitoring and controlling both projects through reporting, status meetings, risk management, and project plan updates.</t>
  </si>
  <si>
    <t>1.4.1</t>
  </si>
  <si>
    <t>Project Management Modernisation of systems</t>
  </si>
  <si>
    <t>Oversight of the modernization project ensuring alignment with scope, schedule, and cost baselines.</t>
  </si>
  <si>
    <t>1.4.2</t>
  </si>
  <si>
    <t>Project Management Building a Modern website</t>
  </si>
  <si>
    <t>Oversight of the website project ensuring progress and quality standards are met.</t>
  </si>
  <si>
    <t>1.4.3</t>
  </si>
  <si>
    <t>Project Status Meetings Modernisation of systems</t>
  </si>
  <si>
    <t>Regular meetings to review progress, risks, and dependencies for the systems project.</t>
  </si>
  <si>
    <t>1.4.4</t>
  </si>
  <si>
    <t>Project Status Meetings Building a Modern website</t>
  </si>
  <si>
    <t>Regular meetings to review progress, risks, and dependencies for the website project.</t>
  </si>
  <si>
    <t>1.4.5</t>
  </si>
  <si>
    <t>Risk Management Modernisation of systems</t>
  </si>
  <si>
    <t>Identification, monitoring, and mitigation of risks for the systems modernization.</t>
  </si>
  <si>
    <t>1.4.6</t>
  </si>
  <si>
    <t>Risk Management Building a Modern website</t>
  </si>
  <si>
    <t>Identification, monitoring, and mitigation of risks for the website development.</t>
  </si>
  <si>
    <t>1.4.7</t>
  </si>
  <si>
    <t>Update Project Management Plan Modernisation of systems</t>
  </si>
  <si>
    <t>Ongoing adjustments to the project plan reflecting changes in scope, risks, or timelines.</t>
  </si>
  <si>
    <t>1.4.8</t>
  </si>
  <si>
    <t>Update Project Management Plan Building a Modern website</t>
  </si>
  <si>
    <t>Closeout project</t>
  </si>
  <si>
    <t>Formal closure of the projects. Includes audits, lessons learned, acceptance, and archiving.</t>
  </si>
  <si>
    <t>1.5.1</t>
  </si>
  <si>
    <t>Audit Procurement</t>
  </si>
  <si>
    <t>Review and confirm that all procurement processes were followed and deliverables received.</t>
  </si>
  <si>
    <t>1.5.2</t>
  </si>
  <si>
    <t>Audit Security Policies</t>
  </si>
  <si>
    <t>Validate that implemented solutions comply with corporate security policies and standards.</t>
  </si>
  <si>
    <t>1.5.3</t>
  </si>
  <si>
    <t>Document Lessons Learned</t>
  </si>
  <si>
    <t>Capture successes, challenges, and recommendations for future projects.</t>
  </si>
  <si>
    <t>1.5.4</t>
  </si>
  <si>
    <t>Update Files/Records</t>
  </si>
  <si>
    <t>Ensure all project documentation is complete and updated for historical reference.</t>
  </si>
  <si>
    <t>1.5.5</t>
  </si>
  <si>
    <t>Gain Formal Acceptance</t>
  </si>
  <si>
    <t>Secure official approval from stakeholders for completed deliverables.</t>
  </si>
  <si>
    <t>1.5.6</t>
  </si>
  <si>
    <t>Archive Files/Documents</t>
  </si>
  <si>
    <t>Archive all project records and documentation for compliance and reference.</t>
  </si>
  <si>
    <t xml:space="preserve">Client Change Requests </t>
  </si>
  <si>
    <t>Internal Change Requests</t>
  </si>
  <si>
    <t>Budget Variance Threshold Control</t>
  </si>
  <si>
    <t>Identify budget variance</t>
  </si>
  <si>
    <t>The Project Manager will compare planned vs actual expenditure on a regular basis to detect any cost deviation.</t>
  </si>
  <si>
    <t>Assess variance threshold</t>
  </si>
  <si>
    <t>If project costs exceed 10% of the allocated budget for any component, a financial review will be triggered.</t>
  </si>
  <si>
    <t>Analyse cause of variance</t>
  </si>
  <si>
    <t>Project Manager, Project Team</t>
  </si>
  <si>
    <t>The Project Manager will work with relevant team members to identify the cause of the budget overrun and assess its impact.</t>
  </si>
  <si>
    <t>Recommend corrective action</t>
  </si>
  <si>
    <t>The Project Manager will determine whether cost adjustments, scope refinement, or resource reallocation are required.</t>
  </si>
  <si>
    <t>Seek approval</t>
  </si>
  <si>
    <t>Project Sponsor / Steering Committee</t>
  </si>
  <si>
    <t>Approval must be obtained before any additional expenditure is incurred.</t>
  </si>
  <si>
    <t>Update budget baseline</t>
  </si>
  <si>
    <t>If approved, the Project Manager will update budget documentation and communicate changes to stakeholders.</t>
  </si>
  <si>
    <t>Monitor ongoing expenditure</t>
  </si>
  <si>
    <t>Budget performance will continue to be monitored to ensure costs remain within acceptable limits.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</si>
</sst>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&quot; days&quot;"/>
    <numFmt numFmtId="165" formatCode="#,##0.00&quot; days&quot;"/>
    <numFmt numFmtId="166" formatCode="ddd\ dd/mmm/yy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9" fillId="0" borderId="0" applyNumberForma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left" vertical="top"/>
    </xf>
    <xf numFmtId="165" fontId="0" fillId="2" borderId="0" xfId="1" applyNumberFormat="1" applyFont="1" applyFill="1" applyAlignment="1">
      <alignment horizontal="left" vertical="top"/>
    </xf>
    <xf numFmtId="165" fontId="0" fillId="2" borderId="0" xfId="0" applyNumberFormat="1" applyFill="1" applyAlignment="1">
      <alignment horizontal="left" vertical="top"/>
    </xf>
    <xf numFmtId="0" fontId="0" fillId="0" borderId="0" xfId="0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/>
    </xf>
    <xf numFmtId="0" fontId="4" fillId="0" borderId="1" xfId="0" applyFont="1" applyBorder="1" applyAlignment="1">
      <alignment wrapText="1"/>
    </xf>
    <xf numFmtId="166" fontId="3" fillId="0" borderId="1" xfId="2" applyNumberFormat="1" applyBorder="1" applyAlignment="1" applyProtection="1">
      <alignment horizontal="left" vertical="top" wrapText="1"/>
      <protection locked="0"/>
    </xf>
    <xf numFmtId="166" fontId="8" fillId="0" borderId="1" xfId="2" applyNumberFormat="1" applyFont="1" applyBorder="1" applyAlignment="1" applyProtection="1">
      <alignment horizontal="left" vertical="top" wrapText="1"/>
      <protection locked="0"/>
    </xf>
    <xf numFmtId="0" fontId="4" fillId="0" borderId="1" xfId="0" applyFont="1" applyBorder="1"/>
    <xf numFmtId="165" fontId="7" fillId="2" borderId="1" xfId="1" applyNumberFormat="1" applyFont="1" applyFill="1" applyBorder="1" applyAlignment="1">
      <alignment horizontal="left" vertical="top" wrapText="1"/>
    </xf>
    <xf numFmtId="165" fontId="7" fillId="2" borderId="1" xfId="0" applyNumberFormat="1" applyFont="1" applyFill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 vertical="top" wrapText="1"/>
    </xf>
    <xf numFmtId="165" fontId="4" fillId="2" borderId="1" xfId="1" applyNumberFormat="1" applyFont="1" applyFill="1" applyBorder="1" applyAlignment="1">
      <alignment horizontal="left" vertical="top" wrapText="1"/>
    </xf>
    <xf numFmtId="165" fontId="4" fillId="2" borderId="1" xfId="0" applyNumberFormat="1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textRotation="90" wrapText="1"/>
    </xf>
    <xf numFmtId="0" fontId="6" fillId="4" borderId="1" xfId="0" applyFont="1" applyFill="1" applyBorder="1" applyAlignment="1">
      <alignment horizontal="center" vertical="center" wrapText="1"/>
    </xf>
    <xf numFmtId="0" fontId="9" fillId="0" borderId="1" xfId="3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7" fillId="0" borderId="2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4">
    <cellStyle name="Hyperlink" xfId="3" builtinId="8"/>
    <cellStyle name="Normal" xfId="0" builtinId="0"/>
    <cellStyle name="Normal 3" xfId="2" xr:uid="{BB0E93A7-55F0-4420-8B0A-8DA068096FC5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susan.mor@boutiquebuild.com.a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CED96-865F-42B1-814A-F0DD7A1F90A0}">
  <sheetPr>
    <tabColor rgb="FFFF0000"/>
  </sheetPr>
  <dimension ref="A1:H70"/>
  <sheetViews>
    <sheetView topLeftCell="A63" zoomScale="90" zoomScaleNormal="90" workbookViewId="0">
      <selection activeCell="D9" sqref="D9"/>
    </sheetView>
  </sheetViews>
  <sheetFormatPr baseColWidth="10" defaultColWidth="8.83203125" defaultRowHeight="15" x14ac:dyDescent="0.2"/>
  <cols>
    <col min="1" max="1" width="17" style="1" customWidth="1"/>
    <col min="2" max="2" width="8.5" style="1" bestFit="1" customWidth="1"/>
    <col min="3" max="4" width="9" style="1" bestFit="1" customWidth="1"/>
    <col min="5" max="5" width="11.1640625" style="2" bestFit="1" customWidth="1"/>
    <col min="6" max="6" width="11.83203125" style="3" bestFit="1" customWidth="1"/>
    <col min="7" max="7" width="14.5" style="1" customWidth="1"/>
    <col min="8" max="8" width="28.1640625" style="1" customWidth="1"/>
    <col min="9" max="16384" width="8.83203125" style="1"/>
  </cols>
  <sheetData>
    <row r="1" spans="1:8" x14ac:dyDescent="0.2">
      <c r="A1" s="12" t="s">
        <v>0</v>
      </c>
      <c r="B1" s="12" t="s">
        <v>110</v>
      </c>
      <c r="C1" s="12" t="s">
        <v>111</v>
      </c>
      <c r="D1" s="12" t="s">
        <v>112</v>
      </c>
      <c r="E1" s="23" t="s">
        <v>113</v>
      </c>
      <c r="F1" s="24" t="s">
        <v>114</v>
      </c>
      <c r="G1" s="12" t="s">
        <v>1</v>
      </c>
      <c r="H1" s="12" t="s">
        <v>2</v>
      </c>
    </row>
    <row r="2" spans="1:8" ht="45" x14ac:dyDescent="0.2">
      <c r="A2" s="17" t="s">
        <v>4</v>
      </c>
      <c r="B2" s="25">
        <v>2</v>
      </c>
      <c r="C2" s="25">
        <v>4</v>
      </c>
      <c r="D2" s="25">
        <v>6</v>
      </c>
      <c r="E2" s="26">
        <f>(B2+4*C2+D2)/6</f>
        <v>4</v>
      </c>
      <c r="F2" s="27">
        <f>(D2-B2)/6</f>
        <v>0.66666666666666663</v>
      </c>
      <c r="G2" s="14" t="s">
        <v>3</v>
      </c>
      <c r="H2" s="17" t="s">
        <v>147</v>
      </c>
    </row>
    <row r="3" spans="1:8" ht="30" x14ac:dyDescent="0.2">
      <c r="A3" s="17" t="s">
        <v>5</v>
      </c>
      <c r="B3" s="25">
        <v>1</v>
      </c>
      <c r="C3" s="25">
        <v>2</v>
      </c>
      <c r="D3" s="25">
        <v>3</v>
      </c>
      <c r="E3" s="26">
        <f t="shared" ref="E3:E66" si="0">(B3+4*C3+D3)/6</f>
        <v>2</v>
      </c>
      <c r="F3" s="27">
        <f t="shared" ref="F3:F66" si="1">(D3-B3)/6</f>
        <v>0.33333333333333331</v>
      </c>
      <c r="G3" s="14">
        <v>1</v>
      </c>
      <c r="H3" s="17" t="s">
        <v>80</v>
      </c>
    </row>
    <row r="4" spans="1:8" ht="45" x14ac:dyDescent="0.2">
      <c r="A4" s="17" t="s">
        <v>6</v>
      </c>
      <c r="B4" s="25">
        <v>2</v>
      </c>
      <c r="C4" s="25">
        <v>3</v>
      </c>
      <c r="D4" s="25">
        <v>5</v>
      </c>
      <c r="E4" s="26">
        <f t="shared" si="0"/>
        <v>3.1666666666666665</v>
      </c>
      <c r="F4" s="27">
        <f t="shared" si="1"/>
        <v>0.5</v>
      </c>
      <c r="G4" s="14">
        <v>2</v>
      </c>
      <c r="H4" s="17" t="s">
        <v>109</v>
      </c>
    </row>
    <row r="5" spans="1:8" ht="45" x14ac:dyDescent="0.2">
      <c r="A5" s="17" t="s">
        <v>7</v>
      </c>
      <c r="B5" s="25">
        <v>3</v>
      </c>
      <c r="C5" s="25">
        <v>5</v>
      </c>
      <c r="D5" s="25">
        <v>7</v>
      </c>
      <c r="E5" s="26">
        <f t="shared" si="0"/>
        <v>5</v>
      </c>
      <c r="F5" s="27">
        <f t="shared" si="1"/>
        <v>0.66666666666666663</v>
      </c>
      <c r="G5" s="14">
        <v>3</v>
      </c>
      <c r="H5" s="17" t="s">
        <v>81</v>
      </c>
    </row>
    <row r="6" spans="1:8" ht="30" x14ac:dyDescent="0.2">
      <c r="A6" s="17" t="s">
        <v>8</v>
      </c>
      <c r="B6" s="25">
        <v>1</v>
      </c>
      <c r="C6" s="25">
        <v>2</v>
      </c>
      <c r="D6" s="25">
        <v>4</v>
      </c>
      <c r="E6" s="26">
        <f t="shared" si="0"/>
        <v>2.1666666666666665</v>
      </c>
      <c r="F6" s="27">
        <f t="shared" si="1"/>
        <v>0.5</v>
      </c>
      <c r="G6" s="14">
        <v>4</v>
      </c>
      <c r="H6" s="17" t="s">
        <v>82</v>
      </c>
    </row>
    <row r="7" spans="1:8" ht="30" x14ac:dyDescent="0.2">
      <c r="A7" s="17" t="s">
        <v>9</v>
      </c>
      <c r="B7" s="25">
        <v>0.5</v>
      </c>
      <c r="C7" s="25">
        <v>1</v>
      </c>
      <c r="D7" s="25">
        <v>1.5</v>
      </c>
      <c r="E7" s="26">
        <f t="shared" si="0"/>
        <v>1</v>
      </c>
      <c r="F7" s="27">
        <f t="shared" si="1"/>
        <v>0.16666666666666666</v>
      </c>
      <c r="G7" s="14">
        <v>5</v>
      </c>
      <c r="H7" s="17" t="s">
        <v>135</v>
      </c>
    </row>
    <row r="8" spans="1:8" ht="45" x14ac:dyDescent="0.2">
      <c r="A8" s="17" t="s">
        <v>10</v>
      </c>
      <c r="B8" s="25">
        <v>5</v>
      </c>
      <c r="C8" s="25">
        <v>8</v>
      </c>
      <c r="D8" s="25">
        <v>12</v>
      </c>
      <c r="E8" s="26">
        <f t="shared" si="0"/>
        <v>8.1666666666666661</v>
      </c>
      <c r="F8" s="27">
        <f t="shared" si="1"/>
        <v>1.1666666666666667</v>
      </c>
      <c r="G8" s="14">
        <v>6</v>
      </c>
      <c r="H8" s="17" t="s">
        <v>136</v>
      </c>
    </row>
    <row r="9" spans="1:8" ht="45" x14ac:dyDescent="0.2">
      <c r="A9" s="17" t="s">
        <v>11</v>
      </c>
      <c r="B9" s="25">
        <v>2</v>
      </c>
      <c r="C9" s="25">
        <v>4</v>
      </c>
      <c r="D9" s="25">
        <v>6</v>
      </c>
      <c r="E9" s="26">
        <f t="shared" si="0"/>
        <v>4</v>
      </c>
      <c r="F9" s="27">
        <f t="shared" si="1"/>
        <v>0.66666666666666663</v>
      </c>
      <c r="G9" s="14">
        <v>7</v>
      </c>
      <c r="H9" s="17" t="s">
        <v>137</v>
      </c>
    </row>
    <row r="10" spans="1:8" ht="60" x14ac:dyDescent="0.2">
      <c r="A10" s="17" t="s">
        <v>12</v>
      </c>
      <c r="B10" s="25">
        <v>3</v>
      </c>
      <c r="C10" s="25">
        <v>5</v>
      </c>
      <c r="D10" s="25">
        <v>8</v>
      </c>
      <c r="E10" s="26">
        <f t="shared" si="0"/>
        <v>5.166666666666667</v>
      </c>
      <c r="F10" s="27">
        <f t="shared" si="1"/>
        <v>0.83333333333333337</v>
      </c>
      <c r="G10" s="14">
        <v>8</v>
      </c>
      <c r="H10" s="17" t="s">
        <v>138</v>
      </c>
    </row>
    <row r="11" spans="1:8" ht="60" x14ac:dyDescent="0.2">
      <c r="A11" s="17" t="s">
        <v>13</v>
      </c>
      <c r="B11" s="25">
        <v>2</v>
      </c>
      <c r="C11" s="25">
        <v>4</v>
      </c>
      <c r="D11" s="25">
        <v>7</v>
      </c>
      <c r="E11" s="26">
        <f t="shared" si="0"/>
        <v>4.166666666666667</v>
      </c>
      <c r="F11" s="27">
        <f t="shared" si="1"/>
        <v>0.83333333333333337</v>
      </c>
      <c r="G11" s="14">
        <v>9</v>
      </c>
      <c r="H11" s="17" t="s">
        <v>139</v>
      </c>
    </row>
    <row r="12" spans="1:8" ht="60" x14ac:dyDescent="0.2">
      <c r="A12" s="17" t="s">
        <v>14</v>
      </c>
      <c r="B12" s="25">
        <v>4</v>
      </c>
      <c r="C12" s="25">
        <v>6</v>
      </c>
      <c r="D12" s="25">
        <v>10</v>
      </c>
      <c r="E12" s="26">
        <f t="shared" si="0"/>
        <v>6.333333333333333</v>
      </c>
      <c r="F12" s="27">
        <f t="shared" si="1"/>
        <v>1</v>
      </c>
      <c r="G12" s="14">
        <v>10</v>
      </c>
      <c r="H12" s="17" t="s">
        <v>83</v>
      </c>
    </row>
    <row r="13" spans="1:8" ht="60" x14ac:dyDescent="0.2">
      <c r="A13" s="17" t="s">
        <v>15</v>
      </c>
      <c r="B13" s="25">
        <v>3</v>
      </c>
      <c r="C13" s="25">
        <v>5</v>
      </c>
      <c r="D13" s="25">
        <v>8</v>
      </c>
      <c r="E13" s="26">
        <f t="shared" si="0"/>
        <v>5.166666666666667</v>
      </c>
      <c r="F13" s="27">
        <f t="shared" si="1"/>
        <v>0.83333333333333337</v>
      </c>
      <c r="G13" s="14">
        <v>10</v>
      </c>
      <c r="H13" s="17" t="s">
        <v>140</v>
      </c>
    </row>
    <row r="14" spans="1:8" ht="45" x14ac:dyDescent="0.2">
      <c r="A14" s="17" t="s">
        <v>16</v>
      </c>
      <c r="B14" s="25">
        <v>2</v>
      </c>
      <c r="C14" s="25">
        <v>4</v>
      </c>
      <c r="D14" s="25">
        <v>6</v>
      </c>
      <c r="E14" s="26">
        <f t="shared" si="0"/>
        <v>4</v>
      </c>
      <c r="F14" s="27">
        <f t="shared" si="1"/>
        <v>0.66666666666666663</v>
      </c>
      <c r="G14" s="14" t="s">
        <v>17</v>
      </c>
      <c r="H14" s="17" t="s">
        <v>141</v>
      </c>
    </row>
    <row r="15" spans="1:8" ht="45" x14ac:dyDescent="0.2">
      <c r="A15" s="17" t="s">
        <v>18</v>
      </c>
      <c r="B15" s="25">
        <v>1</v>
      </c>
      <c r="C15" s="25">
        <v>2</v>
      </c>
      <c r="D15" s="25">
        <v>5</v>
      </c>
      <c r="E15" s="26">
        <f t="shared" si="0"/>
        <v>2.3333333333333335</v>
      </c>
      <c r="F15" s="27">
        <f t="shared" si="1"/>
        <v>0.66666666666666663</v>
      </c>
      <c r="G15" s="14">
        <v>13</v>
      </c>
      <c r="H15" s="17" t="s">
        <v>84</v>
      </c>
    </row>
    <row r="16" spans="1:8" ht="45" x14ac:dyDescent="0.2">
      <c r="A16" s="17" t="s">
        <v>19</v>
      </c>
      <c r="B16" s="25">
        <v>2</v>
      </c>
      <c r="C16" s="25">
        <v>4</v>
      </c>
      <c r="D16" s="25">
        <v>6</v>
      </c>
      <c r="E16" s="26">
        <f t="shared" si="0"/>
        <v>4</v>
      </c>
      <c r="F16" s="27">
        <f t="shared" si="1"/>
        <v>0.66666666666666663</v>
      </c>
      <c r="G16" s="14">
        <v>11</v>
      </c>
      <c r="H16" s="17" t="s">
        <v>148</v>
      </c>
    </row>
    <row r="17" spans="1:8" ht="45" x14ac:dyDescent="0.2">
      <c r="A17" s="17" t="s">
        <v>116</v>
      </c>
      <c r="B17" s="25">
        <v>3</v>
      </c>
      <c r="C17" s="25">
        <v>5</v>
      </c>
      <c r="D17" s="25">
        <v>8</v>
      </c>
      <c r="E17" s="26">
        <f t="shared" si="0"/>
        <v>5.166666666666667</v>
      </c>
      <c r="F17" s="27">
        <f t="shared" si="1"/>
        <v>0.83333333333333337</v>
      </c>
      <c r="G17" s="14">
        <v>15</v>
      </c>
      <c r="H17" s="17" t="s">
        <v>142</v>
      </c>
    </row>
    <row r="18" spans="1:8" ht="45" x14ac:dyDescent="0.2">
      <c r="A18" s="17" t="s">
        <v>20</v>
      </c>
      <c r="B18" s="25">
        <v>4</v>
      </c>
      <c r="C18" s="25">
        <v>6</v>
      </c>
      <c r="D18" s="25">
        <v>9</v>
      </c>
      <c r="E18" s="26">
        <f t="shared" si="0"/>
        <v>6.166666666666667</v>
      </c>
      <c r="F18" s="27">
        <f t="shared" si="1"/>
        <v>0.83333333333333337</v>
      </c>
      <c r="G18" s="14">
        <v>16</v>
      </c>
      <c r="H18" s="17" t="s">
        <v>143</v>
      </c>
    </row>
    <row r="19" spans="1:8" ht="30" x14ac:dyDescent="0.2">
      <c r="A19" s="17" t="s">
        <v>21</v>
      </c>
      <c r="B19" s="25">
        <v>3</v>
      </c>
      <c r="C19" s="25">
        <v>5</v>
      </c>
      <c r="D19" s="25">
        <v>7</v>
      </c>
      <c r="E19" s="26">
        <f t="shared" si="0"/>
        <v>5</v>
      </c>
      <c r="F19" s="27">
        <f t="shared" si="1"/>
        <v>0.66666666666666663</v>
      </c>
      <c r="G19" s="14">
        <v>17</v>
      </c>
      <c r="H19" s="17" t="s">
        <v>85</v>
      </c>
    </row>
    <row r="20" spans="1:8" ht="30" x14ac:dyDescent="0.2">
      <c r="A20" s="17" t="s">
        <v>22</v>
      </c>
      <c r="B20" s="25">
        <v>3</v>
      </c>
      <c r="C20" s="25">
        <v>5</v>
      </c>
      <c r="D20" s="25">
        <v>7</v>
      </c>
      <c r="E20" s="26">
        <f t="shared" si="0"/>
        <v>5</v>
      </c>
      <c r="F20" s="27">
        <f t="shared" si="1"/>
        <v>0.66666666666666663</v>
      </c>
      <c r="G20" s="14">
        <v>13</v>
      </c>
      <c r="H20" s="17" t="s">
        <v>86</v>
      </c>
    </row>
    <row r="21" spans="1:8" ht="45" x14ac:dyDescent="0.2">
      <c r="A21" s="17" t="s">
        <v>23</v>
      </c>
      <c r="B21" s="25">
        <v>4</v>
      </c>
      <c r="C21" s="25">
        <v>6</v>
      </c>
      <c r="D21" s="25">
        <v>8</v>
      </c>
      <c r="E21" s="26">
        <f t="shared" si="0"/>
        <v>6</v>
      </c>
      <c r="F21" s="27">
        <f t="shared" si="1"/>
        <v>0.66666666666666663</v>
      </c>
      <c r="G21" s="14">
        <v>19</v>
      </c>
      <c r="H21" s="17" t="s">
        <v>144</v>
      </c>
    </row>
    <row r="22" spans="1:8" ht="30" x14ac:dyDescent="0.2">
      <c r="A22" s="17" t="s">
        <v>24</v>
      </c>
      <c r="B22" s="25">
        <v>2</v>
      </c>
      <c r="C22" s="25">
        <v>3</v>
      </c>
      <c r="D22" s="25">
        <v>5</v>
      </c>
      <c r="E22" s="26">
        <f t="shared" si="0"/>
        <v>3.1666666666666665</v>
      </c>
      <c r="F22" s="27">
        <f t="shared" si="1"/>
        <v>0.5</v>
      </c>
      <c r="G22" s="14">
        <v>20</v>
      </c>
      <c r="H22" s="17" t="s">
        <v>87</v>
      </c>
    </row>
    <row r="23" spans="1:8" ht="60" x14ac:dyDescent="0.2">
      <c r="A23" s="17" t="s">
        <v>25</v>
      </c>
      <c r="B23" s="25">
        <v>3</v>
      </c>
      <c r="C23" s="25">
        <v>6</v>
      </c>
      <c r="D23" s="25">
        <v>9</v>
      </c>
      <c r="E23" s="26">
        <f t="shared" si="0"/>
        <v>6</v>
      </c>
      <c r="F23" s="27">
        <f t="shared" si="1"/>
        <v>1</v>
      </c>
      <c r="G23" s="14" t="s">
        <v>26</v>
      </c>
      <c r="H23" s="17" t="s">
        <v>149</v>
      </c>
    </row>
    <row r="24" spans="1:8" ht="60" x14ac:dyDescent="0.2">
      <c r="A24" s="17" t="s">
        <v>27</v>
      </c>
      <c r="B24" s="25">
        <v>6</v>
      </c>
      <c r="C24" s="25">
        <v>10</v>
      </c>
      <c r="D24" s="25">
        <v>15</v>
      </c>
      <c r="E24" s="26">
        <f t="shared" si="0"/>
        <v>10.166666666666666</v>
      </c>
      <c r="F24" s="27">
        <f t="shared" si="1"/>
        <v>1.5</v>
      </c>
      <c r="G24" s="14">
        <v>22</v>
      </c>
      <c r="H24" s="17" t="s">
        <v>145</v>
      </c>
    </row>
    <row r="25" spans="1:8" ht="45" x14ac:dyDescent="0.2">
      <c r="A25" s="17" t="s">
        <v>28</v>
      </c>
      <c r="B25" s="25">
        <v>3</v>
      </c>
      <c r="C25" s="25">
        <v>5</v>
      </c>
      <c r="D25" s="25">
        <v>8</v>
      </c>
      <c r="E25" s="26">
        <f t="shared" si="0"/>
        <v>5.166666666666667</v>
      </c>
      <c r="F25" s="27">
        <f t="shared" si="1"/>
        <v>0.83333333333333337</v>
      </c>
      <c r="G25" s="14">
        <v>23</v>
      </c>
      <c r="H25" s="17" t="s">
        <v>88</v>
      </c>
    </row>
    <row r="26" spans="1:8" ht="60" x14ac:dyDescent="0.2">
      <c r="A26" s="17" t="s">
        <v>29</v>
      </c>
      <c r="B26" s="25">
        <v>2</v>
      </c>
      <c r="C26" s="25">
        <v>4</v>
      </c>
      <c r="D26" s="25">
        <v>6</v>
      </c>
      <c r="E26" s="26">
        <f t="shared" si="0"/>
        <v>4</v>
      </c>
      <c r="F26" s="27">
        <f t="shared" si="1"/>
        <v>0.66666666666666663</v>
      </c>
      <c r="G26" s="14">
        <v>23</v>
      </c>
      <c r="H26" s="17" t="s">
        <v>89</v>
      </c>
    </row>
    <row r="27" spans="1:8" ht="60" x14ac:dyDescent="0.2">
      <c r="A27" s="17" t="s">
        <v>30</v>
      </c>
      <c r="B27" s="25">
        <v>4</v>
      </c>
      <c r="C27" s="25">
        <v>6</v>
      </c>
      <c r="D27" s="25">
        <v>9</v>
      </c>
      <c r="E27" s="26">
        <f t="shared" si="0"/>
        <v>6.166666666666667</v>
      </c>
      <c r="F27" s="27">
        <f t="shared" si="1"/>
        <v>0.83333333333333337</v>
      </c>
      <c r="G27" s="14" t="s">
        <v>31</v>
      </c>
      <c r="H27" s="17" t="s">
        <v>150</v>
      </c>
    </row>
    <row r="28" spans="1:8" ht="75" x14ac:dyDescent="0.2">
      <c r="A28" s="17" t="s">
        <v>32</v>
      </c>
      <c r="B28" s="25">
        <v>2</v>
      </c>
      <c r="C28" s="25">
        <v>4</v>
      </c>
      <c r="D28" s="25">
        <v>6</v>
      </c>
      <c r="E28" s="26">
        <f t="shared" si="0"/>
        <v>4</v>
      </c>
      <c r="F28" s="27">
        <f t="shared" si="1"/>
        <v>0.66666666666666663</v>
      </c>
      <c r="G28" s="14">
        <v>8</v>
      </c>
      <c r="H28" s="17" t="s">
        <v>151</v>
      </c>
    </row>
    <row r="29" spans="1:8" ht="60" x14ac:dyDescent="0.2">
      <c r="A29" s="17" t="s">
        <v>33</v>
      </c>
      <c r="B29" s="25">
        <v>1</v>
      </c>
      <c r="C29" s="25">
        <v>3</v>
      </c>
      <c r="D29" s="25">
        <v>5</v>
      </c>
      <c r="E29" s="26">
        <f t="shared" si="0"/>
        <v>3</v>
      </c>
      <c r="F29" s="27">
        <f t="shared" si="1"/>
        <v>0.66666666666666663</v>
      </c>
      <c r="G29" s="14">
        <v>27</v>
      </c>
      <c r="H29" s="17" t="s">
        <v>146</v>
      </c>
    </row>
    <row r="30" spans="1:8" ht="60" x14ac:dyDescent="0.2">
      <c r="A30" s="17" t="s">
        <v>34</v>
      </c>
      <c r="B30" s="25">
        <v>2</v>
      </c>
      <c r="C30" s="25">
        <v>4</v>
      </c>
      <c r="D30" s="25">
        <v>7</v>
      </c>
      <c r="E30" s="26">
        <f t="shared" si="0"/>
        <v>4.166666666666667</v>
      </c>
      <c r="F30" s="27">
        <f t="shared" si="1"/>
        <v>0.83333333333333337</v>
      </c>
      <c r="G30" s="14">
        <v>28</v>
      </c>
      <c r="H30" s="17" t="s">
        <v>152</v>
      </c>
    </row>
    <row r="31" spans="1:8" ht="60" x14ac:dyDescent="0.2">
      <c r="A31" s="17" t="s">
        <v>35</v>
      </c>
      <c r="B31" s="25">
        <v>1</v>
      </c>
      <c r="C31" s="25">
        <v>2</v>
      </c>
      <c r="D31" s="25">
        <v>4</v>
      </c>
      <c r="E31" s="26">
        <f t="shared" si="0"/>
        <v>2.1666666666666665</v>
      </c>
      <c r="F31" s="27">
        <f t="shared" si="1"/>
        <v>0.5</v>
      </c>
      <c r="G31" s="14">
        <v>8</v>
      </c>
      <c r="H31" s="17" t="s">
        <v>153</v>
      </c>
    </row>
    <row r="32" spans="1:8" ht="45" x14ac:dyDescent="0.2">
      <c r="A32" s="17" t="s">
        <v>36</v>
      </c>
      <c r="B32" s="25">
        <v>2</v>
      </c>
      <c r="C32" s="25">
        <v>4</v>
      </c>
      <c r="D32" s="25">
        <v>6</v>
      </c>
      <c r="E32" s="26">
        <f t="shared" si="0"/>
        <v>4</v>
      </c>
      <c r="F32" s="27">
        <f t="shared" si="1"/>
        <v>0.66666666666666663</v>
      </c>
      <c r="G32" s="14">
        <v>30</v>
      </c>
      <c r="H32" s="17" t="s">
        <v>154</v>
      </c>
    </row>
    <row r="33" spans="1:8" ht="30" x14ac:dyDescent="0.2">
      <c r="A33" s="17" t="s">
        <v>37</v>
      </c>
      <c r="B33" s="25">
        <v>1</v>
      </c>
      <c r="C33" s="25">
        <v>2</v>
      </c>
      <c r="D33" s="25">
        <v>4</v>
      </c>
      <c r="E33" s="26">
        <f t="shared" si="0"/>
        <v>2.1666666666666665</v>
      </c>
      <c r="F33" s="27">
        <f t="shared" si="1"/>
        <v>0.5</v>
      </c>
      <c r="G33" s="14">
        <v>31</v>
      </c>
      <c r="H33" s="17" t="s">
        <v>90</v>
      </c>
    </row>
    <row r="34" spans="1:8" ht="45" x14ac:dyDescent="0.2">
      <c r="A34" s="17" t="s">
        <v>38</v>
      </c>
      <c r="B34" s="25">
        <v>1</v>
      </c>
      <c r="C34" s="25">
        <v>3</v>
      </c>
      <c r="D34" s="25">
        <v>5</v>
      </c>
      <c r="E34" s="26">
        <f t="shared" si="0"/>
        <v>3</v>
      </c>
      <c r="F34" s="27">
        <f t="shared" si="1"/>
        <v>0.66666666666666663</v>
      </c>
      <c r="G34" s="14">
        <v>29</v>
      </c>
      <c r="H34" s="17" t="s">
        <v>155</v>
      </c>
    </row>
    <row r="35" spans="1:8" ht="45" x14ac:dyDescent="0.2">
      <c r="A35" s="17" t="s">
        <v>39</v>
      </c>
      <c r="B35" s="25">
        <v>3</v>
      </c>
      <c r="C35" s="25">
        <v>5</v>
      </c>
      <c r="D35" s="25">
        <v>8</v>
      </c>
      <c r="E35" s="26">
        <f t="shared" si="0"/>
        <v>5.166666666666667</v>
      </c>
      <c r="F35" s="27">
        <f t="shared" si="1"/>
        <v>0.83333333333333337</v>
      </c>
      <c r="G35" s="14">
        <v>33</v>
      </c>
      <c r="H35" s="17" t="s">
        <v>91</v>
      </c>
    </row>
    <row r="36" spans="1:8" ht="60" x14ac:dyDescent="0.2">
      <c r="A36" s="17" t="s">
        <v>40</v>
      </c>
      <c r="B36" s="25">
        <v>2</v>
      </c>
      <c r="C36" s="25">
        <v>4</v>
      </c>
      <c r="D36" s="25">
        <v>6</v>
      </c>
      <c r="E36" s="26">
        <f t="shared" si="0"/>
        <v>4</v>
      </c>
      <c r="F36" s="27">
        <f t="shared" si="1"/>
        <v>0.66666666666666663</v>
      </c>
      <c r="G36" s="14" t="s">
        <v>41</v>
      </c>
      <c r="H36" s="17" t="s">
        <v>156</v>
      </c>
    </row>
    <row r="37" spans="1:8" ht="60" x14ac:dyDescent="0.2">
      <c r="A37" s="17" t="s">
        <v>42</v>
      </c>
      <c r="B37" s="25">
        <v>2</v>
      </c>
      <c r="C37" s="25">
        <v>4</v>
      </c>
      <c r="D37" s="25">
        <v>6</v>
      </c>
      <c r="E37" s="26">
        <f t="shared" si="0"/>
        <v>4</v>
      </c>
      <c r="F37" s="27">
        <f t="shared" si="1"/>
        <v>0.66666666666666663</v>
      </c>
      <c r="G37" s="14">
        <v>35</v>
      </c>
      <c r="H37" s="17" t="s">
        <v>115</v>
      </c>
    </row>
    <row r="38" spans="1:8" ht="45" x14ac:dyDescent="0.2">
      <c r="A38" s="17" t="s">
        <v>43</v>
      </c>
      <c r="B38" s="25">
        <v>2</v>
      </c>
      <c r="C38" s="25">
        <v>3</v>
      </c>
      <c r="D38" s="25">
        <v>5</v>
      </c>
      <c r="E38" s="26">
        <f t="shared" si="0"/>
        <v>3.1666666666666665</v>
      </c>
      <c r="F38" s="27">
        <f t="shared" si="1"/>
        <v>0.5</v>
      </c>
      <c r="G38" s="14">
        <v>36</v>
      </c>
      <c r="H38" s="17" t="s">
        <v>92</v>
      </c>
    </row>
    <row r="39" spans="1:8" ht="45" x14ac:dyDescent="0.2">
      <c r="A39" s="17" t="s">
        <v>117</v>
      </c>
      <c r="B39" s="25">
        <v>3</v>
      </c>
      <c r="C39" s="25">
        <v>5</v>
      </c>
      <c r="D39" s="25">
        <v>7</v>
      </c>
      <c r="E39" s="26">
        <f t="shared" si="0"/>
        <v>5</v>
      </c>
      <c r="F39" s="27">
        <f t="shared" si="1"/>
        <v>0.66666666666666663</v>
      </c>
      <c r="G39" s="14" t="s">
        <v>44</v>
      </c>
      <c r="H39" s="17" t="s">
        <v>93</v>
      </c>
    </row>
    <row r="40" spans="1:8" ht="30" x14ac:dyDescent="0.2">
      <c r="A40" s="17" t="s">
        <v>45</v>
      </c>
      <c r="B40" s="25">
        <v>1</v>
      </c>
      <c r="C40" s="25">
        <v>2</v>
      </c>
      <c r="D40" s="25">
        <v>4</v>
      </c>
      <c r="E40" s="26">
        <f t="shared" si="0"/>
        <v>2.1666666666666665</v>
      </c>
      <c r="F40" s="27">
        <f t="shared" si="1"/>
        <v>0.5</v>
      </c>
      <c r="G40" s="14">
        <v>38</v>
      </c>
      <c r="H40" s="17" t="s">
        <v>119</v>
      </c>
    </row>
    <row r="41" spans="1:8" ht="75" x14ac:dyDescent="0.2">
      <c r="A41" s="17" t="s">
        <v>46</v>
      </c>
      <c r="B41" s="25">
        <v>2</v>
      </c>
      <c r="C41" s="25">
        <v>3</v>
      </c>
      <c r="D41" s="25">
        <v>5</v>
      </c>
      <c r="E41" s="26">
        <f t="shared" si="0"/>
        <v>3.1666666666666665</v>
      </c>
      <c r="F41" s="27">
        <f t="shared" si="1"/>
        <v>0.5</v>
      </c>
      <c r="G41" s="14" t="s">
        <v>47</v>
      </c>
      <c r="H41" s="17" t="s">
        <v>120</v>
      </c>
    </row>
    <row r="42" spans="1:8" ht="30" x14ac:dyDescent="0.2">
      <c r="A42" s="17" t="s">
        <v>118</v>
      </c>
      <c r="B42" s="25">
        <v>1</v>
      </c>
      <c r="C42" s="25">
        <v>2</v>
      </c>
      <c r="D42" s="25">
        <v>4</v>
      </c>
      <c r="E42" s="26">
        <f t="shared" si="0"/>
        <v>2.1666666666666665</v>
      </c>
      <c r="F42" s="27">
        <f t="shared" si="1"/>
        <v>0.5</v>
      </c>
      <c r="G42" s="14">
        <v>40</v>
      </c>
      <c r="H42" s="17" t="s">
        <v>94</v>
      </c>
    </row>
    <row r="43" spans="1:8" ht="30" x14ac:dyDescent="0.2">
      <c r="A43" s="17" t="s">
        <v>48</v>
      </c>
      <c r="B43" s="25">
        <v>2</v>
      </c>
      <c r="C43" s="25">
        <v>4</v>
      </c>
      <c r="D43" s="25">
        <v>6</v>
      </c>
      <c r="E43" s="26">
        <f t="shared" si="0"/>
        <v>4</v>
      </c>
      <c r="F43" s="27">
        <f t="shared" si="1"/>
        <v>0.66666666666666663</v>
      </c>
      <c r="G43" s="14">
        <v>41</v>
      </c>
      <c r="H43" s="17" t="s">
        <v>95</v>
      </c>
    </row>
    <row r="44" spans="1:8" ht="45" x14ac:dyDescent="0.2">
      <c r="A44" s="17" t="s">
        <v>49</v>
      </c>
      <c r="B44" s="25">
        <v>2</v>
      </c>
      <c r="C44" s="25">
        <v>3</v>
      </c>
      <c r="D44" s="25">
        <v>5</v>
      </c>
      <c r="E44" s="26">
        <f t="shared" si="0"/>
        <v>3.1666666666666665</v>
      </c>
      <c r="F44" s="27">
        <f t="shared" si="1"/>
        <v>0.5</v>
      </c>
      <c r="G44" s="14">
        <v>42</v>
      </c>
      <c r="H44" s="17" t="s">
        <v>121</v>
      </c>
    </row>
    <row r="45" spans="1:8" ht="45" x14ac:dyDescent="0.2">
      <c r="A45" s="17" t="s">
        <v>122</v>
      </c>
      <c r="B45" s="25">
        <v>3</v>
      </c>
      <c r="C45" s="25">
        <v>5</v>
      </c>
      <c r="D45" s="25">
        <v>7</v>
      </c>
      <c r="E45" s="26">
        <f t="shared" si="0"/>
        <v>5</v>
      </c>
      <c r="F45" s="27">
        <f t="shared" si="1"/>
        <v>0.66666666666666663</v>
      </c>
      <c r="G45" s="14">
        <v>43</v>
      </c>
      <c r="H45" s="17" t="s">
        <v>123</v>
      </c>
    </row>
    <row r="46" spans="1:8" ht="45" x14ac:dyDescent="0.2">
      <c r="A46" s="17" t="s">
        <v>50</v>
      </c>
      <c r="B46" s="25">
        <v>3</v>
      </c>
      <c r="C46" s="25">
        <v>5</v>
      </c>
      <c r="D46" s="25">
        <v>8</v>
      </c>
      <c r="E46" s="26">
        <f t="shared" si="0"/>
        <v>5.166666666666667</v>
      </c>
      <c r="F46" s="27">
        <f t="shared" si="1"/>
        <v>0.83333333333333337</v>
      </c>
      <c r="G46" s="14">
        <v>43</v>
      </c>
      <c r="H46" s="17" t="s">
        <v>96</v>
      </c>
    </row>
    <row r="47" spans="1:8" ht="60" x14ac:dyDescent="0.2">
      <c r="A47" s="17" t="s">
        <v>51</v>
      </c>
      <c r="B47" s="25">
        <v>1</v>
      </c>
      <c r="C47" s="25">
        <v>2</v>
      </c>
      <c r="D47" s="25">
        <v>4</v>
      </c>
      <c r="E47" s="26">
        <f t="shared" si="0"/>
        <v>2.1666666666666665</v>
      </c>
      <c r="F47" s="27">
        <f t="shared" si="1"/>
        <v>0.5</v>
      </c>
      <c r="G47" s="14">
        <v>43</v>
      </c>
      <c r="H47" s="17" t="s">
        <v>124</v>
      </c>
    </row>
    <row r="48" spans="1:8" ht="30" x14ac:dyDescent="0.2">
      <c r="A48" s="17" t="s">
        <v>52</v>
      </c>
      <c r="B48" s="25">
        <v>4</v>
      </c>
      <c r="C48" s="25">
        <v>6</v>
      </c>
      <c r="D48" s="25">
        <v>9</v>
      </c>
      <c r="E48" s="26">
        <f t="shared" si="0"/>
        <v>6.166666666666667</v>
      </c>
      <c r="F48" s="27">
        <f t="shared" si="1"/>
        <v>0.83333333333333337</v>
      </c>
      <c r="G48" s="14" t="s">
        <v>53</v>
      </c>
      <c r="H48" s="17" t="s">
        <v>157</v>
      </c>
    </row>
    <row r="49" spans="1:8" ht="30" x14ac:dyDescent="0.2">
      <c r="A49" s="17" t="s">
        <v>54</v>
      </c>
      <c r="B49" s="25">
        <v>5</v>
      </c>
      <c r="C49" s="25">
        <v>8</v>
      </c>
      <c r="D49" s="25">
        <v>12</v>
      </c>
      <c r="E49" s="26">
        <f t="shared" si="0"/>
        <v>8.1666666666666661</v>
      </c>
      <c r="F49" s="27">
        <f t="shared" si="1"/>
        <v>1.1666666666666667</v>
      </c>
      <c r="G49" s="14" t="s">
        <v>55</v>
      </c>
      <c r="H49" s="14" t="s">
        <v>97</v>
      </c>
    </row>
    <row r="50" spans="1:8" ht="60" x14ac:dyDescent="0.2">
      <c r="A50" s="17" t="s">
        <v>56</v>
      </c>
      <c r="B50" s="25">
        <v>5</v>
      </c>
      <c r="C50" s="25">
        <v>9</v>
      </c>
      <c r="D50" s="25">
        <v>13</v>
      </c>
      <c r="E50" s="26">
        <f t="shared" si="0"/>
        <v>9</v>
      </c>
      <c r="F50" s="27">
        <f t="shared" si="1"/>
        <v>1.3333333333333333</v>
      </c>
      <c r="G50" s="14" t="s">
        <v>55</v>
      </c>
      <c r="H50" s="14" t="s">
        <v>125</v>
      </c>
    </row>
    <row r="51" spans="1:8" ht="45" x14ac:dyDescent="0.2">
      <c r="A51" s="17" t="s">
        <v>57</v>
      </c>
      <c r="B51" s="25">
        <v>3</v>
      </c>
      <c r="C51" s="25">
        <v>5</v>
      </c>
      <c r="D51" s="25">
        <v>8</v>
      </c>
      <c r="E51" s="26">
        <f t="shared" si="0"/>
        <v>5.166666666666667</v>
      </c>
      <c r="F51" s="27">
        <f t="shared" si="1"/>
        <v>0.83333333333333337</v>
      </c>
      <c r="G51" s="14" t="s">
        <v>58</v>
      </c>
      <c r="H51" s="14" t="s">
        <v>126</v>
      </c>
    </row>
    <row r="52" spans="1:8" ht="45" x14ac:dyDescent="0.2">
      <c r="A52" s="17" t="s">
        <v>59</v>
      </c>
      <c r="B52" s="25">
        <v>1</v>
      </c>
      <c r="C52" s="25">
        <v>2</v>
      </c>
      <c r="D52" s="25">
        <v>4</v>
      </c>
      <c r="E52" s="26">
        <f t="shared" si="0"/>
        <v>2.1666666666666665</v>
      </c>
      <c r="F52" s="27">
        <f t="shared" si="1"/>
        <v>0.5</v>
      </c>
      <c r="G52" s="14">
        <v>50</v>
      </c>
      <c r="H52" s="14" t="s">
        <v>127</v>
      </c>
    </row>
    <row r="53" spans="1:8" ht="30" x14ac:dyDescent="0.2">
      <c r="A53" s="17" t="s">
        <v>60</v>
      </c>
      <c r="B53" s="25">
        <v>1</v>
      </c>
      <c r="C53" s="25">
        <v>2</v>
      </c>
      <c r="D53" s="25">
        <v>3</v>
      </c>
      <c r="E53" s="26">
        <f t="shared" si="0"/>
        <v>2</v>
      </c>
      <c r="F53" s="27">
        <f t="shared" si="1"/>
        <v>0.33333333333333331</v>
      </c>
      <c r="G53" s="14">
        <v>51</v>
      </c>
      <c r="H53" s="14" t="s">
        <v>128</v>
      </c>
    </row>
    <row r="54" spans="1:8" ht="45" x14ac:dyDescent="0.2">
      <c r="A54" s="17" t="s">
        <v>61</v>
      </c>
      <c r="B54" s="25">
        <v>1</v>
      </c>
      <c r="C54" s="25">
        <v>2</v>
      </c>
      <c r="D54" s="25">
        <v>4</v>
      </c>
      <c r="E54" s="26">
        <f t="shared" si="0"/>
        <v>2.1666666666666665</v>
      </c>
      <c r="F54" s="27">
        <f t="shared" si="1"/>
        <v>0.5</v>
      </c>
      <c r="G54" s="14">
        <v>52</v>
      </c>
      <c r="H54" s="14" t="s">
        <v>98</v>
      </c>
    </row>
    <row r="55" spans="1:8" ht="60" x14ac:dyDescent="0.2">
      <c r="A55" s="17" t="s">
        <v>62</v>
      </c>
      <c r="B55" s="25">
        <v>2</v>
      </c>
      <c r="C55" s="25">
        <v>3</v>
      </c>
      <c r="D55" s="25">
        <v>5</v>
      </c>
      <c r="E55" s="26">
        <f t="shared" si="0"/>
        <v>3.1666666666666665</v>
      </c>
      <c r="F55" s="27">
        <f t="shared" si="1"/>
        <v>0.5</v>
      </c>
      <c r="G55" s="14">
        <v>53</v>
      </c>
      <c r="H55" s="14" t="s">
        <v>129</v>
      </c>
    </row>
    <row r="56" spans="1:8" ht="30" x14ac:dyDescent="0.2">
      <c r="A56" s="17" t="s">
        <v>63</v>
      </c>
      <c r="B56" s="25">
        <v>3</v>
      </c>
      <c r="C56" s="25">
        <v>5</v>
      </c>
      <c r="D56" s="25">
        <v>8</v>
      </c>
      <c r="E56" s="26">
        <f t="shared" si="0"/>
        <v>5.166666666666667</v>
      </c>
      <c r="F56" s="27">
        <f t="shared" si="1"/>
        <v>0.83333333333333337</v>
      </c>
      <c r="G56" s="14">
        <v>54</v>
      </c>
      <c r="H56" s="14" t="s">
        <v>99</v>
      </c>
    </row>
    <row r="57" spans="1:8" ht="30" x14ac:dyDescent="0.2">
      <c r="A57" s="17" t="s">
        <v>64</v>
      </c>
      <c r="B57" s="25">
        <v>1</v>
      </c>
      <c r="C57" s="25">
        <v>3</v>
      </c>
      <c r="D57" s="25">
        <v>5</v>
      </c>
      <c r="E57" s="26">
        <f t="shared" si="0"/>
        <v>3</v>
      </c>
      <c r="F57" s="27">
        <f t="shared" si="1"/>
        <v>0.66666666666666663</v>
      </c>
      <c r="G57" s="14">
        <v>55</v>
      </c>
      <c r="H57" s="14" t="s">
        <v>100</v>
      </c>
    </row>
    <row r="58" spans="1:8" ht="60" x14ac:dyDescent="0.2">
      <c r="A58" s="17" t="s">
        <v>65</v>
      </c>
      <c r="B58" s="25">
        <v>1</v>
      </c>
      <c r="C58" s="25">
        <v>2</v>
      </c>
      <c r="D58" s="25">
        <v>4</v>
      </c>
      <c r="E58" s="26">
        <f t="shared" si="0"/>
        <v>2.1666666666666665</v>
      </c>
      <c r="F58" s="27">
        <f t="shared" si="1"/>
        <v>0.5</v>
      </c>
      <c r="G58" s="14">
        <v>56</v>
      </c>
      <c r="H58" s="14" t="s">
        <v>131</v>
      </c>
    </row>
    <row r="59" spans="1:8" ht="60" x14ac:dyDescent="0.2">
      <c r="A59" s="17" t="s">
        <v>66</v>
      </c>
      <c r="B59" s="25">
        <v>2</v>
      </c>
      <c r="C59" s="25">
        <v>3</v>
      </c>
      <c r="D59" s="25">
        <v>5</v>
      </c>
      <c r="E59" s="26">
        <f t="shared" si="0"/>
        <v>3.1666666666666665</v>
      </c>
      <c r="F59" s="27">
        <f t="shared" si="1"/>
        <v>0.5</v>
      </c>
      <c r="G59" s="14">
        <v>57</v>
      </c>
      <c r="H59" s="14" t="s">
        <v>130</v>
      </c>
    </row>
    <row r="60" spans="1:8" ht="45" x14ac:dyDescent="0.2">
      <c r="A60" s="17" t="s">
        <v>67</v>
      </c>
      <c r="B60" s="25">
        <v>2</v>
      </c>
      <c r="C60" s="25">
        <v>4</v>
      </c>
      <c r="D60" s="25">
        <v>6</v>
      </c>
      <c r="E60" s="26">
        <f t="shared" si="0"/>
        <v>4</v>
      </c>
      <c r="F60" s="27">
        <f t="shared" si="1"/>
        <v>0.66666666666666663</v>
      </c>
      <c r="G60" s="14">
        <v>58</v>
      </c>
      <c r="H60" s="14" t="s">
        <v>101</v>
      </c>
    </row>
    <row r="61" spans="1:8" ht="60" x14ac:dyDescent="0.2">
      <c r="A61" s="17" t="s">
        <v>68</v>
      </c>
      <c r="B61" s="25">
        <v>3</v>
      </c>
      <c r="C61" s="25">
        <v>5</v>
      </c>
      <c r="D61" s="25">
        <v>7</v>
      </c>
      <c r="E61" s="26">
        <f t="shared" si="0"/>
        <v>5</v>
      </c>
      <c r="F61" s="27">
        <f t="shared" si="1"/>
        <v>0.66666666666666663</v>
      </c>
      <c r="G61" s="14">
        <v>57</v>
      </c>
      <c r="H61" s="14" t="s">
        <v>102</v>
      </c>
    </row>
    <row r="62" spans="1:8" ht="30" x14ac:dyDescent="0.2">
      <c r="A62" s="17" t="s">
        <v>69</v>
      </c>
      <c r="B62" s="25">
        <v>2</v>
      </c>
      <c r="C62" s="25">
        <v>4</v>
      </c>
      <c r="D62" s="25">
        <v>6</v>
      </c>
      <c r="E62" s="26">
        <f t="shared" si="0"/>
        <v>4</v>
      </c>
      <c r="F62" s="27">
        <f t="shared" si="1"/>
        <v>0.66666666666666663</v>
      </c>
      <c r="G62" s="14">
        <v>60</v>
      </c>
      <c r="H62" s="14" t="s">
        <v>103</v>
      </c>
    </row>
    <row r="63" spans="1:8" ht="45" x14ac:dyDescent="0.2">
      <c r="A63" s="17" t="s">
        <v>70</v>
      </c>
      <c r="B63" s="25">
        <v>1</v>
      </c>
      <c r="C63" s="25">
        <v>2</v>
      </c>
      <c r="D63" s="25">
        <v>4</v>
      </c>
      <c r="E63" s="26">
        <f t="shared" si="0"/>
        <v>2.1666666666666665</v>
      </c>
      <c r="F63" s="27">
        <f t="shared" si="1"/>
        <v>0.5</v>
      </c>
      <c r="G63" s="14">
        <v>61</v>
      </c>
      <c r="H63" s="14" t="s">
        <v>132</v>
      </c>
    </row>
    <row r="64" spans="1:8" ht="45" x14ac:dyDescent="0.2">
      <c r="A64" s="17" t="s">
        <v>71</v>
      </c>
      <c r="B64" s="25">
        <v>0.5</v>
      </c>
      <c r="C64" s="25">
        <v>1</v>
      </c>
      <c r="D64" s="25">
        <v>2</v>
      </c>
      <c r="E64" s="26">
        <f t="shared" si="0"/>
        <v>1.0833333333333333</v>
      </c>
      <c r="F64" s="27">
        <f t="shared" si="1"/>
        <v>0.25</v>
      </c>
      <c r="G64" s="14" t="s">
        <v>72</v>
      </c>
      <c r="H64" s="14" t="s">
        <v>104</v>
      </c>
    </row>
    <row r="65" spans="1:8" ht="45" x14ac:dyDescent="0.2">
      <c r="A65" s="17" t="s">
        <v>73</v>
      </c>
      <c r="B65" s="25">
        <v>2</v>
      </c>
      <c r="C65" s="25">
        <v>3</v>
      </c>
      <c r="D65" s="25">
        <v>5</v>
      </c>
      <c r="E65" s="26">
        <f t="shared" si="0"/>
        <v>3.1666666666666665</v>
      </c>
      <c r="F65" s="27">
        <f t="shared" si="1"/>
        <v>0.5</v>
      </c>
      <c r="G65" s="14">
        <v>63</v>
      </c>
      <c r="H65" s="14" t="s">
        <v>133</v>
      </c>
    </row>
    <row r="66" spans="1:8" ht="30" x14ac:dyDescent="0.2">
      <c r="A66" s="17" t="s">
        <v>74</v>
      </c>
      <c r="B66" s="25">
        <v>1</v>
      </c>
      <c r="C66" s="25">
        <v>2</v>
      </c>
      <c r="D66" s="25">
        <v>3</v>
      </c>
      <c r="E66" s="26">
        <f t="shared" si="0"/>
        <v>2</v>
      </c>
      <c r="F66" s="27">
        <f t="shared" si="1"/>
        <v>0.33333333333333331</v>
      </c>
      <c r="G66" s="14">
        <v>64</v>
      </c>
      <c r="H66" s="14" t="s">
        <v>105</v>
      </c>
    </row>
    <row r="67" spans="1:8" ht="45" x14ac:dyDescent="0.2">
      <c r="A67" s="17" t="s">
        <v>75</v>
      </c>
      <c r="B67" s="25">
        <v>2</v>
      </c>
      <c r="C67" s="25">
        <v>4</v>
      </c>
      <c r="D67" s="25">
        <v>6</v>
      </c>
      <c r="E67" s="26">
        <f t="shared" ref="E67:E70" si="2">(B67+4*C67+D67)/6</f>
        <v>4</v>
      </c>
      <c r="F67" s="27">
        <f t="shared" ref="F67:F70" si="3">(D67-B67)/6</f>
        <v>0.66666666666666663</v>
      </c>
      <c r="G67" s="14">
        <v>65</v>
      </c>
      <c r="H67" s="14" t="s">
        <v>106</v>
      </c>
    </row>
    <row r="68" spans="1:8" ht="30" x14ac:dyDescent="0.2">
      <c r="A68" s="17" t="s">
        <v>76</v>
      </c>
      <c r="B68" s="25">
        <v>1</v>
      </c>
      <c r="C68" s="25">
        <v>2</v>
      </c>
      <c r="D68" s="25">
        <v>3</v>
      </c>
      <c r="E68" s="26">
        <f t="shared" si="2"/>
        <v>2</v>
      </c>
      <c r="F68" s="27">
        <f t="shared" si="3"/>
        <v>0.33333333333333331</v>
      </c>
      <c r="G68" s="14">
        <v>66</v>
      </c>
      <c r="H68" s="14" t="s">
        <v>134</v>
      </c>
    </row>
    <row r="69" spans="1:8" ht="30" x14ac:dyDescent="0.2">
      <c r="A69" s="17" t="s">
        <v>77</v>
      </c>
      <c r="B69" s="25">
        <v>1</v>
      </c>
      <c r="C69" s="25">
        <v>2</v>
      </c>
      <c r="D69" s="25">
        <v>4</v>
      </c>
      <c r="E69" s="26">
        <f t="shared" si="2"/>
        <v>2.1666666666666665</v>
      </c>
      <c r="F69" s="27">
        <f t="shared" si="3"/>
        <v>0.5</v>
      </c>
      <c r="G69" s="14">
        <v>67</v>
      </c>
      <c r="H69" s="14" t="s">
        <v>107</v>
      </c>
    </row>
    <row r="70" spans="1:8" ht="45" x14ac:dyDescent="0.2">
      <c r="A70" s="17" t="s">
        <v>78</v>
      </c>
      <c r="B70" s="25">
        <v>1</v>
      </c>
      <c r="C70" s="25">
        <v>3</v>
      </c>
      <c r="D70" s="25">
        <v>5</v>
      </c>
      <c r="E70" s="26">
        <f t="shared" si="2"/>
        <v>3</v>
      </c>
      <c r="F70" s="27">
        <f t="shared" si="3"/>
        <v>0.66666666666666663</v>
      </c>
      <c r="G70" s="14" t="s">
        <v>79</v>
      </c>
      <c r="H70" s="14" t="s">
        <v>108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22EC-4620-4117-A76D-1E4837839DB1}">
  <dimension ref="A1:D13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3.83203125" bestFit="1" customWidth="1"/>
    <col min="2" max="2" width="30.33203125" customWidth="1"/>
    <col min="3" max="3" width="44.5" style="4" customWidth="1"/>
    <col min="4" max="4" width="13.83203125" customWidth="1"/>
  </cols>
  <sheetData>
    <row r="1" spans="1:4" ht="30" x14ac:dyDescent="0.2">
      <c r="A1" s="15" t="s">
        <v>170</v>
      </c>
      <c r="B1" s="15" t="s">
        <v>171</v>
      </c>
      <c r="C1" s="15" t="s">
        <v>186</v>
      </c>
      <c r="D1" s="18" t="s">
        <v>185</v>
      </c>
    </row>
    <row r="2" spans="1:4" ht="31" x14ac:dyDescent="0.2">
      <c r="A2" s="17">
        <v>1</v>
      </c>
      <c r="B2" s="17" t="s">
        <v>158</v>
      </c>
      <c r="C2" s="19" t="s">
        <v>187</v>
      </c>
      <c r="D2" s="20">
        <v>45874</v>
      </c>
    </row>
    <row r="3" spans="1:4" ht="46" x14ac:dyDescent="0.2">
      <c r="A3" s="17">
        <f>A2+1</f>
        <v>2</v>
      </c>
      <c r="B3" s="17" t="s">
        <v>159</v>
      </c>
      <c r="C3" s="19" t="s">
        <v>188</v>
      </c>
      <c r="D3" s="21">
        <v>45877</v>
      </c>
    </row>
    <row r="4" spans="1:4" x14ac:dyDescent="0.2">
      <c r="A4" s="17">
        <f t="shared" ref="A4:A13" si="0">A3+1</f>
        <v>3</v>
      </c>
      <c r="B4" s="17" t="s">
        <v>160</v>
      </c>
      <c r="C4" s="22" t="s">
        <v>189</v>
      </c>
      <c r="D4" s="21">
        <v>45877</v>
      </c>
    </row>
    <row r="5" spans="1:4" ht="30" x14ac:dyDescent="0.2">
      <c r="A5" s="17">
        <f t="shared" si="0"/>
        <v>4</v>
      </c>
      <c r="B5" s="17" t="s">
        <v>161</v>
      </c>
      <c r="C5" s="17" t="s">
        <v>190</v>
      </c>
      <c r="D5" s="21">
        <v>45881</v>
      </c>
    </row>
    <row r="6" spans="1:4" ht="60" x14ac:dyDescent="0.2">
      <c r="A6" s="17">
        <f t="shared" si="0"/>
        <v>5</v>
      </c>
      <c r="B6" s="17" t="s">
        <v>162</v>
      </c>
      <c r="C6" s="17" t="s">
        <v>191</v>
      </c>
      <c r="D6" s="21">
        <v>45889</v>
      </c>
    </row>
    <row r="7" spans="1:4" ht="60" x14ac:dyDescent="0.2">
      <c r="A7" s="17">
        <f t="shared" si="0"/>
        <v>6</v>
      </c>
      <c r="B7" s="17" t="s">
        <v>163</v>
      </c>
      <c r="C7" s="17" t="s">
        <v>191</v>
      </c>
      <c r="D7" s="21">
        <v>45889</v>
      </c>
    </row>
    <row r="8" spans="1:4" ht="45" x14ac:dyDescent="0.2">
      <c r="A8" s="17">
        <f t="shared" si="0"/>
        <v>7</v>
      </c>
      <c r="B8" s="17" t="s">
        <v>164</v>
      </c>
      <c r="C8" s="17" t="s">
        <v>192</v>
      </c>
      <c r="D8" s="21">
        <v>45897</v>
      </c>
    </row>
    <row r="9" spans="1:4" ht="45" x14ac:dyDescent="0.2">
      <c r="A9" s="17">
        <f t="shared" si="0"/>
        <v>8</v>
      </c>
      <c r="B9" s="17" t="s">
        <v>165</v>
      </c>
      <c r="C9" s="17" t="s">
        <v>193</v>
      </c>
      <c r="D9" s="21">
        <v>45901</v>
      </c>
    </row>
    <row r="10" spans="1:4" ht="45" x14ac:dyDescent="0.2">
      <c r="A10" s="17">
        <f t="shared" si="0"/>
        <v>9</v>
      </c>
      <c r="B10" s="17" t="s">
        <v>166</v>
      </c>
      <c r="C10" s="17" t="s">
        <v>194</v>
      </c>
      <c r="D10" s="21">
        <v>45917</v>
      </c>
    </row>
    <row r="11" spans="1:4" ht="45" x14ac:dyDescent="0.2">
      <c r="A11" s="17">
        <f t="shared" si="0"/>
        <v>10</v>
      </c>
      <c r="B11" s="17" t="s">
        <v>167</v>
      </c>
      <c r="C11" s="17" t="s">
        <v>195</v>
      </c>
      <c r="D11" s="21">
        <v>45898</v>
      </c>
    </row>
    <row r="12" spans="1:4" ht="45" x14ac:dyDescent="0.2">
      <c r="A12" s="17">
        <f t="shared" si="0"/>
        <v>11</v>
      </c>
      <c r="B12" s="17" t="s">
        <v>168</v>
      </c>
      <c r="C12" s="17" t="s">
        <v>196</v>
      </c>
      <c r="D12" s="21">
        <v>45901</v>
      </c>
    </row>
    <row r="13" spans="1:4" ht="45" x14ac:dyDescent="0.2">
      <c r="A13" s="17">
        <f t="shared" si="0"/>
        <v>12</v>
      </c>
      <c r="B13" s="17" t="s">
        <v>169</v>
      </c>
      <c r="C13" s="17" t="s">
        <v>197</v>
      </c>
      <c r="D13" s="21">
        <v>45929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62F3B-7E13-4F4A-95DB-0576158409CF}">
  <dimension ref="A1:C5"/>
  <sheetViews>
    <sheetView topLeftCell="A3" workbookViewId="0">
      <selection sqref="A1:C5"/>
    </sheetView>
  </sheetViews>
  <sheetFormatPr baseColWidth="10" defaultColWidth="8.83203125" defaultRowHeight="15" x14ac:dyDescent="0.2"/>
  <cols>
    <col min="1" max="1" width="22.83203125" customWidth="1"/>
    <col min="2" max="2" width="19.5" customWidth="1"/>
    <col min="3" max="3" width="20.5" customWidth="1"/>
  </cols>
  <sheetData>
    <row r="1" spans="1:3" ht="16" x14ac:dyDescent="0.2">
      <c r="A1" s="34" t="s">
        <v>225</v>
      </c>
      <c r="B1" s="34" t="s">
        <v>312</v>
      </c>
      <c r="C1" s="34" t="s">
        <v>313</v>
      </c>
    </row>
    <row r="2" spans="1:3" ht="112" x14ac:dyDescent="0.2">
      <c r="A2" s="35" t="s">
        <v>300</v>
      </c>
      <c r="B2" s="35" t="s">
        <v>301</v>
      </c>
      <c r="C2" s="35" t="s">
        <v>302</v>
      </c>
    </row>
    <row r="3" spans="1:3" ht="96" x14ac:dyDescent="0.2">
      <c r="A3" s="35" t="s">
        <v>303</v>
      </c>
      <c r="B3" s="35" t="s">
        <v>304</v>
      </c>
      <c r="C3" s="35" t="s">
        <v>305</v>
      </c>
    </row>
    <row r="4" spans="1:3" ht="80" x14ac:dyDescent="0.2">
      <c r="A4" s="35" t="s">
        <v>306</v>
      </c>
      <c r="B4" s="35" t="s">
        <v>307</v>
      </c>
      <c r="C4" s="35" t="s">
        <v>308</v>
      </c>
    </row>
    <row r="5" spans="1:3" ht="80" x14ac:dyDescent="0.2">
      <c r="A5" s="35" t="s">
        <v>309</v>
      </c>
      <c r="B5" s="35" t="s">
        <v>310</v>
      </c>
      <c r="C5" s="35" t="s">
        <v>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6C9D0-B316-4A49-8090-E1E0626B3E1F}">
  <dimension ref="A1:B13"/>
  <sheetViews>
    <sheetView workbookViewId="0">
      <selection activeCell="D16" sqref="D16"/>
    </sheetView>
  </sheetViews>
  <sheetFormatPr baseColWidth="10" defaultColWidth="8.83203125" defaultRowHeight="14" x14ac:dyDescent="0.15"/>
  <cols>
    <col min="1" max="1" width="3.83203125" style="16" bestFit="1" customWidth="1"/>
    <col min="2" max="2" width="63.1640625" style="16" bestFit="1" customWidth="1"/>
    <col min="3" max="16384" width="8.83203125" style="16"/>
  </cols>
  <sheetData>
    <row r="1" spans="1:2" ht="30" x14ac:dyDescent="0.15">
      <c r="A1" s="15" t="s">
        <v>170</v>
      </c>
      <c r="B1" s="15" t="s">
        <v>172</v>
      </c>
    </row>
    <row r="2" spans="1:2" ht="15" x14ac:dyDescent="0.15">
      <c r="A2" s="17">
        <v>1</v>
      </c>
      <c r="B2" s="17" t="s">
        <v>173</v>
      </c>
    </row>
    <row r="3" spans="1:2" ht="15" x14ac:dyDescent="0.15">
      <c r="A3" s="17">
        <f>A2+1</f>
        <v>2</v>
      </c>
      <c r="B3" s="17" t="s">
        <v>174</v>
      </c>
    </row>
    <row r="4" spans="1:2" ht="15" x14ac:dyDescent="0.15">
      <c r="A4" s="17">
        <f t="shared" ref="A4:A13" si="0">A3+1</f>
        <v>3</v>
      </c>
      <c r="B4" s="17" t="s">
        <v>175</v>
      </c>
    </row>
    <row r="5" spans="1:2" ht="15" x14ac:dyDescent="0.15">
      <c r="A5" s="17">
        <f t="shared" si="0"/>
        <v>4</v>
      </c>
      <c r="B5" s="17" t="s">
        <v>176</v>
      </c>
    </row>
    <row r="6" spans="1:2" ht="15" x14ac:dyDescent="0.15">
      <c r="A6" s="17">
        <f t="shared" si="0"/>
        <v>5</v>
      </c>
      <c r="B6" s="17" t="s">
        <v>177</v>
      </c>
    </row>
    <row r="7" spans="1:2" ht="15" x14ac:dyDescent="0.15">
      <c r="A7" s="17">
        <f t="shared" si="0"/>
        <v>6</v>
      </c>
      <c r="B7" s="17" t="s">
        <v>178</v>
      </c>
    </row>
    <row r="8" spans="1:2" ht="15" x14ac:dyDescent="0.15">
      <c r="A8" s="17">
        <f t="shared" si="0"/>
        <v>7</v>
      </c>
      <c r="B8" s="17" t="s">
        <v>179</v>
      </c>
    </row>
    <row r="9" spans="1:2" ht="15" x14ac:dyDescent="0.15">
      <c r="A9" s="17">
        <f t="shared" si="0"/>
        <v>8</v>
      </c>
      <c r="B9" s="17" t="s">
        <v>180</v>
      </c>
    </row>
    <row r="10" spans="1:2" ht="15" x14ac:dyDescent="0.15">
      <c r="A10" s="17">
        <f t="shared" si="0"/>
        <v>9</v>
      </c>
      <c r="B10" s="17" t="s">
        <v>181</v>
      </c>
    </row>
    <row r="11" spans="1:2" ht="15" x14ac:dyDescent="0.15">
      <c r="A11" s="17">
        <f t="shared" si="0"/>
        <v>10</v>
      </c>
      <c r="B11" s="17" t="s">
        <v>182</v>
      </c>
    </row>
    <row r="12" spans="1:2" ht="15" x14ac:dyDescent="0.15">
      <c r="A12" s="17">
        <f t="shared" si="0"/>
        <v>11</v>
      </c>
      <c r="B12" s="17" t="s">
        <v>183</v>
      </c>
    </row>
    <row r="13" spans="1:2" ht="30" x14ac:dyDescent="0.15">
      <c r="A13" s="17">
        <f t="shared" si="0"/>
        <v>12</v>
      </c>
      <c r="B13" s="17" t="s">
        <v>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A8877-E8DA-4C66-94BC-D151587F6D20}">
  <dimension ref="A1:D30"/>
  <sheetViews>
    <sheetView tabSelected="1" topLeftCell="A15" zoomScale="115" zoomScaleNormal="115" workbookViewId="0">
      <selection activeCell="B34" sqref="B34"/>
    </sheetView>
  </sheetViews>
  <sheetFormatPr baseColWidth="10" defaultColWidth="8.83203125" defaultRowHeight="15" x14ac:dyDescent="0.2"/>
  <cols>
    <col min="1" max="1" width="5.6640625" customWidth="1"/>
    <col min="2" max="2" width="36.5" customWidth="1"/>
    <col min="3" max="3" width="14.1640625" style="4" bestFit="1" customWidth="1"/>
    <col min="4" max="4" width="59.1640625" style="4" customWidth="1"/>
    <col min="5" max="5" width="8.83203125" customWidth="1"/>
  </cols>
  <sheetData>
    <row r="1" spans="1:4" x14ac:dyDescent="0.2">
      <c r="A1" s="37" t="s">
        <v>411</v>
      </c>
      <c r="B1" s="37"/>
      <c r="C1" s="37"/>
      <c r="D1" s="37"/>
    </row>
    <row r="2" spans="1:4" ht="16" x14ac:dyDescent="0.2">
      <c r="A2" s="9" t="s">
        <v>198</v>
      </c>
      <c r="B2" s="9" t="s">
        <v>186</v>
      </c>
      <c r="C2" s="6" t="s">
        <v>200</v>
      </c>
      <c r="D2" s="6" t="s">
        <v>199</v>
      </c>
    </row>
    <row r="3" spans="1:4" ht="32" x14ac:dyDescent="0.2">
      <c r="A3" s="10">
        <v>1</v>
      </c>
      <c r="B3" s="10" t="s">
        <v>201</v>
      </c>
      <c r="C3" s="7" t="s">
        <v>202</v>
      </c>
      <c r="D3" s="7" t="s">
        <v>216</v>
      </c>
    </row>
    <row r="4" spans="1:4" ht="32" x14ac:dyDescent="0.2">
      <c r="A4" s="10">
        <v>2</v>
      </c>
      <c r="B4" s="10" t="s">
        <v>203</v>
      </c>
      <c r="C4" s="7" t="s">
        <v>204</v>
      </c>
      <c r="D4" s="7" t="s">
        <v>214</v>
      </c>
    </row>
    <row r="5" spans="1:4" ht="48" x14ac:dyDescent="0.2">
      <c r="A5" s="10">
        <v>3</v>
      </c>
      <c r="B5" s="10" t="s">
        <v>205</v>
      </c>
      <c r="C5" s="7" t="s">
        <v>207</v>
      </c>
      <c r="D5" s="7" t="s">
        <v>206</v>
      </c>
    </row>
    <row r="6" spans="1:4" ht="16" x14ac:dyDescent="0.2">
      <c r="A6" s="10">
        <v>4</v>
      </c>
      <c r="B6" s="10" t="s">
        <v>209</v>
      </c>
      <c r="C6" s="7" t="s">
        <v>204</v>
      </c>
      <c r="D6" s="7" t="s">
        <v>208</v>
      </c>
    </row>
    <row r="7" spans="1:4" ht="32" x14ac:dyDescent="0.2">
      <c r="A7" s="10">
        <v>5</v>
      </c>
      <c r="B7" s="10" t="s">
        <v>210</v>
      </c>
      <c r="C7" s="7" t="s">
        <v>215</v>
      </c>
      <c r="D7" s="7" t="s">
        <v>211</v>
      </c>
    </row>
    <row r="8" spans="1:4" ht="48" x14ac:dyDescent="0.2">
      <c r="A8" s="10">
        <v>6</v>
      </c>
      <c r="B8" s="10" t="s">
        <v>212</v>
      </c>
      <c r="C8" s="7" t="s">
        <v>204</v>
      </c>
      <c r="D8" s="7" t="s">
        <v>213</v>
      </c>
    </row>
    <row r="9" spans="1:4" x14ac:dyDescent="0.2">
      <c r="A9" s="1"/>
      <c r="B9" s="1"/>
      <c r="C9" s="8"/>
      <c r="D9" s="8"/>
    </row>
    <row r="10" spans="1:4" x14ac:dyDescent="0.2">
      <c r="A10" s="1"/>
      <c r="B10" s="1"/>
      <c r="C10" s="8"/>
      <c r="D10" s="8"/>
    </row>
    <row r="11" spans="1:4" x14ac:dyDescent="0.2">
      <c r="A11" s="36" t="s">
        <v>412</v>
      </c>
      <c r="B11" s="36"/>
      <c r="C11" s="36"/>
      <c r="D11" s="36"/>
    </row>
    <row r="12" spans="1:4" x14ac:dyDescent="0.2">
      <c r="A12" s="11" t="s">
        <v>198</v>
      </c>
      <c r="B12" s="11" t="s">
        <v>186</v>
      </c>
      <c r="C12" s="12" t="s">
        <v>200</v>
      </c>
      <c r="D12" s="12" t="s">
        <v>199</v>
      </c>
    </row>
    <row r="13" spans="1:4" ht="30" x14ac:dyDescent="0.2">
      <c r="A13" s="13">
        <v>1</v>
      </c>
      <c r="B13" s="13" t="s">
        <v>201</v>
      </c>
      <c r="C13" s="14" t="s">
        <v>217</v>
      </c>
      <c r="D13" s="14" t="s">
        <v>218</v>
      </c>
    </row>
    <row r="14" spans="1:4" ht="75" x14ac:dyDescent="0.2">
      <c r="A14" s="13">
        <v>2</v>
      </c>
      <c r="B14" s="13" t="s">
        <v>220</v>
      </c>
      <c r="C14" s="14" t="s">
        <v>204</v>
      </c>
      <c r="D14" s="14" t="s">
        <v>219</v>
      </c>
    </row>
    <row r="15" spans="1:4" ht="30" x14ac:dyDescent="0.2">
      <c r="A15" s="13">
        <v>3</v>
      </c>
      <c r="B15" s="13" t="s">
        <v>203</v>
      </c>
      <c r="C15" s="14" t="s">
        <v>204</v>
      </c>
      <c r="D15" s="14" t="s">
        <v>214</v>
      </c>
    </row>
    <row r="16" spans="1:4" ht="60" x14ac:dyDescent="0.2">
      <c r="A16" s="13">
        <v>4</v>
      </c>
      <c r="B16" s="13" t="s">
        <v>205</v>
      </c>
      <c r="C16" s="14" t="s">
        <v>207</v>
      </c>
      <c r="D16" s="14" t="s">
        <v>206</v>
      </c>
    </row>
    <row r="17" spans="1:4" ht="30" x14ac:dyDescent="0.2">
      <c r="A17" s="13">
        <v>5</v>
      </c>
      <c r="B17" s="13" t="s">
        <v>209</v>
      </c>
      <c r="C17" s="14" t="s">
        <v>204</v>
      </c>
      <c r="D17" s="14" t="s">
        <v>208</v>
      </c>
    </row>
    <row r="18" spans="1:4" ht="30" x14ac:dyDescent="0.2">
      <c r="A18" s="13">
        <v>6</v>
      </c>
      <c r="B18" s="13" t="s">
        <v>210</v>
      </c>
      <c r="C18" s="14" t="s">
        <v>215</v>
      </c>
      <c r="D18" s="14" t="s">
        <v>211</v>
      </c>
    </row>
    <row r="19" spans="1:4" ht="45" x14ac:dyDescent="0.2">
      <c r="A19" s="13">
        <v>7</v>
      </c>
      <c r="B19" s="13" t="s">
        <v>212</v>
      </c>
      <c r="C19" s="14" t="s">
        <v>204</v>
      </c>
      <c r="D19" s="14" t="s">
        <v>213</v>
      </c>
    </row>
    <row r="22" spans="1:4" x14ac:dyDescent="0.2">
      <c r="A22" s="36" t="s">
        <v>413</v>
      </c>
      <c r="B22" s="36"/>
      <c r="C22" s="36"/>
      <c r="D22" s="36"/>
    </row>
    <row r="23" spans="1:4" x14ac:dyDescent="0.2">
      <c r="A23" s="11" t="s">
        <v>198</v>
      </c>
      <c r="B23" s="11" t="s">
        <v>186</v>
      </c>
      <c r="C23" s="12" t="s">
        <v>200</v>
      </c>
      <c r="D23" s="12" t="s">
        <v>199</v>
      </c>
    </row>
    <row r="24" spans="1:4" ht="30" x14ac:dyDescent="0.2">
      <c r="A24" s="13">
        <v>1</v>
      </c>
      <c r="B24" s="14" t="s">
        <v>414</v>
      </c>
      <c r="C24" s="14" t="s">
        <v>204</v>
      </c>
      <c r="D24" s="14" t="s">
        <v>415</v>
      </c>
    </row>
    <row r="25" spans="1:4" ht="30" x14ac:dyDescent="0.2">
      <c r="A25" s="13">
        <v>2</v>
      </c>
      <c r="B25" s="14" t="s">
        <v>416</v>
      </c>
      <c r="C25" s="14" t="s">
        <v>204</v>
      </c>
      <c r="D25" s="14" t="s">
        <v>417</v>
      </c>
    </row>
    <row r="26" spans="1:4" ht="45" x14ac:dyDescent="0.2">
      <c r="A26" s="13">
        <v>3</v>
      </c>
      <c r="B26" s="14" t="s">
        <v>418</v>
      </c>
      <c r="C26" s="14" t="s">
        <v>419</v>
      </c>
      <c r="D26" s="14" t="s">
        <v>420</v>
      </c>
    </row>
    <row r="27" spans="1:4" ht="30" x14ac:dyDescent="0.2">
      <c r="A27" s="13">
        <v>4</v>
      </c>
      <c r="B27" s="14" t="s">
        <v>421</v>
      </c>
      <c r="C27" s="14" t="s">
        <v>204</v>
      </c>
      <c r="D27" s="14" t="s">
        <v>422</v>
      </c>
    </row>
    <row r="28" spans="1:4" ht="45" x14ac:dyDescent="0.2">
      <c r="A28" s="13">
        <v>5</v>
      </c>
      <c r="B28" s="14" t="s">
        <v>423</v>
      </c>
      <c r="C28" s="14" t="s">
        <v>424</v>
      </c>
      <c r="D28" s="14" t="s">
        <v>425</v>
      </c>
    </row>
    <row r="29" spans="1:4" ht="30" x14ac:dyDescent="0.2">
      <c r="A29" s="13">
        <v>6</v>
      </c>
      <c r="B29" s="14" t="s">
        <v>426</v>
      </c>
      <c r="C29" s="14" t="s">
        <v>204</v>
      </c>
      <c r="D29" s="14" t="s">
        <v>427</v>
      </c>
    </row>
    <row r="30" spans="1:4" ht="30" x14ac:dyDescent="0.2">
      <c r="A30" s="13">
        <v>7</v>
      </c>
      <c r="B30" s="14" t="s">
        <v>428</v>
      </c>
      <c r="C30" s="14" t="s">
        <v>204</v>
      </c>
      <c r="D30" s="14" t="s">
        <v>429</v>
      </c>
    </row>
  </sheetData>
  <mergeCells count="3">
    <mergeCell ref="A11:D11"/>
    <mergeCell ref="A1:D1"/>
    <mergeCell ref="A22:D2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2EF11-4C07-4F65-A6EC-3FC0EC3607B0}">
  <dimension ref="A1:G6"/>
  <sheetViews>
    <sheetView topLeftCell="A3" zoomScale="85" zoomScaleNormal="85" workbookViewId="0">
      <selection sqref="A1:G6"/>
    </sheetView>
  </sheetViews>
  <sheetFormatPr baseColWidth="10" defaultColWidth="8.83203125" defaultRowHeight="15" x14ac:dyDescent="0.2"/>
  <cols>
    <col min="1" max="1" width="12.5" customWidth="1"/>
    <col min="2" max="2" width="12" customWidth="1"/>
    <col min="14" max="14" width="10.1640625" customWidth="1"/>
    <col min="15" max="15" width="14.5" customWidth="1"/>
    <col min="16" max="16" width="30.83203125" customWidth="1"/>
    <col min="17" max="17" width="15.1640625" customWidth="1"/>
    <col min="18" max="18" width="12.5" customWidth="1"/>
  </cols>
  <sheetData>
    <row r="1" spans="1:7" ht="77" x14ac:dyDescent="0.2">
      <c r="A1" s="31" t="s">
        <v>221</v>
      </c>
      <c r="B1" s="31" t="s">
        <v>186</v>
      </c>
      <c r="C1" s="31" t="s">
        <v>222</v>
      </c>
      <c r="D1" s="31" t="s">
        <v>223</v>
      </c>
      <c r="E1" s="31" t="s">
        <v>224</v>
      </c>
      <c r="F1" s="31" t="s">
        <v>225</v>
      </c>
      <c r="G1" s="31" t="s">
        <v>226</v>
      </c>
    </row>
    <row r="2" spans="1:7" ht="90" x14ac:dyDescent="0.2">
      <c r="A2" s="30" t="s">
        <v>227</v>
      </c>
      <c r="B2" s="30" t="s">
        <v>228</v>
      </c>
      <c r="C2" s="30" t="s">
        <v>229</v>
      </c>
      <c r="D2" s="30" t="s">
        <v>230</v>
      </c>
      <c r="E2" s="30" t="s">
        <v>231</v>
      </c>
      <c r="F2" s="30" t="s">
        <v>232</v>
      </c>
      <c r="G2" s="30" t="s">
        <v>204</v>
      </c>
    </row>
    <row r="3" spans="1:7" ht="60" x14ac:dyDescent="0.2">
      <c r="A3" s="30" t="s">
        <v>233</v>
      </c>
      <c r="B3" s="30" t="s">
        <v>234</v>
      </c>
      <c r="C3" s="30" t="s">
        <v>229</v>
      </c>
      <c r="D3" s="30" t="s">
        <v>235</v>
      </c>
      <c r="E3" s="30" t="s">
        <v>236</v>
      </c>
      <c r="F3" s="30" t="s">
        <v>237</v>
      </c>
      <c r="G3" s="30" t="s">
        <v>204</v>
      </c>
    </row>
    <row r="4" spans="1:7" ht="90" x14ac:dyDescent="0.2">
      <c r="A4" s="30" t="s">
        <v>238</v>
      </c>
      <c r="B4" s="30" t="s">
        <v>239</v>
      </c>
      <c r="C4" s="30" t="s">
        <v>240</v>
      </c>
      <c r="D4" s="30" t="s">
        <v>235</v>
      </c>
      <c r="E4" s="30" t="s">
        <v>241</v>
      </c>
      <c r="F4" s="30" t="s">
        <v>242</v>
      </c>
      <c r="G4" s="30" t="s">
        <v>204</v>
      </c>
    </row>
    <row r="5" spans="1:7" ht="90" x14ac:dyDescent="0.2">
      <c r="A5" s="30" t="s">
        <v>243</v>
      </c>
      <c r="B5" s="30" t="s">
        <v>244</v>
      </c>
      <c r="C5" s="30" t="s">
        <v>245</v>
      </c>
      <c r="D5" s="30" t="s">
        <v>235</v>
      </c>
      <c r="E5" s="30" t="s">
        <v>231</v>
      </c>
      <c r="F5" s="30" t="s">
        <v>246</v>
      </c>
      <c r="G5" s="30" t="s">
        <v>204</v>
      </c>
    </row>
    <row r="6" spans="1:7" ht="135" x14ac:dyDescent="0.2">
      <c r="A6" s="30" t="s">
        <v>247</v>
      </c>
      <c r="B6" s="30" t="s">
        <v>254</v>
      </c>
      <c r="C6" s="30" t="s">
        <v>245</v>
      </c>
      <c r="D6" s="30" t="s">
        <v>235</v>
      </c>
      <c r="E6" s="30" t="s">
        <v>236</v>
      </c>
      <c r="F6" s="30" t="s">
        <v>255</v>
      </c>
      <c r="G6" s="30" t="s">
        <v>204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153BA-5795-42F2-906B-9931FC8D5804}">
  <dimension ref="A1:E10"/>
  <sheetViews>
    <sheetView topLeftCell="A2" workbookViewId="0">
      <selection activeCell="I10" sqref="I10"/>
    </sheetView>
  </sheetViews>
  <sheetFormatPr baseColWidth="10" defaultColWidth="8.83203125" defaultRowHeight="15" x14ac:dyDescent="0.2"/>
  <cols>
    <col min="1" max="1" width="7.5" bestFit="1" customWidth="1"/>
    <col min="2" max="2" width="8.83203125" bestFit="1" customWidth="1"/>
    <col min="3" max="3" width="32.1640625" bestFit="1" customWidth="1"/>
    <col min="4" max="4" width="19.5" bestFit="1" customWidth="1"/>
    <col min="5" max="5" width="11.6640625" bestFit="1" customWidth="1"/>
  </cols>
  <sheetData>
    <row r="1" spans="1:5" x14ac:dyDescent="0.2">
      <c r="A1" s="28" t="s">
        <v>248</v>
      </c>
      <c r="B1" s="28" t="s">
        <v>249</v>
      </c>
      <c r="C1" s="32" t="s">
        <v>250</v>
      </c>
      <c r="D1" s="28" t="s">
        <v>251</v>
      </c>
      <c r="E1" s="28" t="s">
        <v>252</v>
      </c>
    </row>
    <row r="2" spans="1:5" ht="42" x14ac:dyDescent="0.2">
      <c r="A2" s="29" t="s">
        <v>257</v>
      </c>
      <c r="B2" s="29" t="s">
        <v>258</v>
      </c>
      <c r="C2" s="5" t="s">
        <v>273</v>
      </c>
      <c r="D2" s="5" t="s">
        <v>290</v>
      </c>
      <c r="E2" s="5" t="s">
        <v>281</v>
      </c>
    </row>
    <row r="3" spans="1:5" ht="42" x14ac:dyDescent="0.2">
      <c r="A3" s="29" t="s">
        <v>259</v>
      </c>
      <c r="B3" s="29" t="s">
        <v>260</v>
      </c>
      <c r="C3" s="5" t="s">
        <v>274</v>
      </c>
      <c r="D3" s="5" t="s">
        <v>291</v>
      </c>
      <c r="E3" s="5" t="s">
        <v>282</v>
      </c>
    </row>
    <row r="4" spans="1:5" ht="42" x14ac:dyDescent="0.2">
      <c r="A4" s="29" t="s">
        <v>261</v>
      </c>
      <c r="B4" s="29" t="s">
        <v>262</v>
      </c>
      <c r="C4" s="5" t="s">
        <v>275</v>
      </c>
      <c r="D4" s="5" t="s">
        <v>292</v>
      </c>
      <c r="E4" s="5" t="s">
        <v>283</v>
      </c>
    </row>
    <row r="5" spans="1:5" ht="28" x14ac:dyDescent="0.2">
      <c r="A5" s="29" t="s">
        <v>263</v>
      </c>
      <c r="B5" s="29" t="s">
        <v>264</v>
      </c>
      <c r="C5" s="5" t="s">
        <v>276</v>
      </c>
      <c r="D5" s="5" t="s">
        <v>293</v>
      </c>
      <c r="E5" s="5" t="s">
        <v>284</v>
      </c>
    </row>
    <row r="6" spans="1:5" ht="28" x14ac:dyDescent="0.2">
      <c r="A6" s="29" t="s">
        <v>265</v>
      </c>
      <c r="B6" s="29" t="s">
        <v>266</v>
      </c>
      <c r="C6" s="5" t="s">
        <v>277</v>
      </c>
      <c r="D6" s="5" t="s">
        <v>294</v>
      </c>
      <c r="E6" s="5" t="s">
        <v>285</v>
      </c>
    </row>
    <row r="7" spans="1:5" ht="28" x14ac:dyDescent="0.2">
      <c r="A7" s="29" t="s">
        <v>267</v>
      </c>
      <c r="B7" s="29" t="s">
        <v>268</v>
      </c>
      <c r="C7" s="5" t="s">
        <v>278</v>
      </c>
      <c r="D7" s="5" t="s">
        <v>295</v>
      </c>
      <c r="E7" s="5" t="s">
        <v>286</v>
      </c>
    </row>
    <row r="8" spans="1:5" ht="28" x14ac:dyDescent="0.2">
      <c r="A8" s="29" t="s">
        <v>256</v>
      </c>
      <c r="B8" s="29" t="s">
        <v>253</v>
      </c>
      <c r="C8" s="5" t="s">
        <v>279</v>
      </c>
      <c r="D8" s="5" t="s">
        <v>296</v>
      </c>
      <c r="E8" s="5" t="s">
        <v>287</v>
      </c>
    </row>
    <row r="9" spans="1:5" ht="28" x14ac:dyDescent="0.2">
      <c r="A9" s="29" t="s">
        <v>269</v>
      </c>
      <c r="B9" s="29" t="s">
        <v>270</v>
      </c>
      <c r="C9" s="5" t="s">
        <v>280</v>
      </c>
      <c r="D9" s="5" t="s">
        <v>297</v>
      </c>
      <c r="E9" s="5" t="s">
        <v>288</v>
      </c>
    </row>
    <row r="10" spans="1:5" ht="42" x14ac:dyDescent="0.2">
      <c r="A10" s="29" t="s">
        <v>271</v>
      </c>
      <c r="B10" s="29" t="s">
        <v>272</v>
      </c>
      <c r="C10" s="33" t="s">
        <v>299</v>
      </c>
      <c r="D10" s="5" t="s">
        <v>298</v>
      </c>
      <c r="E10" s="5" t="s">
        <v>289</v>
      </c>
    </row>
  </sheetData>
  <hyperlinks>
    <hyperlink ref="C10" r:id="rId1" xr:uid="{F30D57C0-E139-4B1B-A528-76458900C5B4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A94C-7CF8-41B9-B77E-8D74F099125C}">
  <dimension ref="A1:D35"/>
  <sheetViews>
    <sheetView topLeftCell="A30" workbookViewId="0">
      <selection activeCell="D41" sqref="D41"/>
    </sheetView>
  </sheetViews>
  <sheetFormatPr baseColWidth="10" defaultColWidth="8.83203125" defaultRowHeight="15" x14ac:dyDescent="0.2"/>
  <cols>
    <col min="1" max="2" width="8.83203125" style="1"/>
    <col min="3" max="3" width="15.5" style="1" customWidth="1"/>
    <col min="4" max="4" width="35.1640625" style="1" customWidth="1"/>
  </cols>
  <sheetData>
    <row r="1" spans="1:4" ht="32" x14ac:dyDescent="0.2">
      <c r="A1" s="6" t="s">
        <v>314</v>
      </c>
      <c r="B1" s="6" t="s">
        <v>315</v>
      </c>
      <c r="C1" s="6" t="s">
        <v>316</v>
      </c>
      <c r="D1" s="6" t="s">
        <v>317</v>
      </c>
    </row>
    <row r="2" spans="1:4" ht="80" x14ac:dyDescent="0.2">
      <c r="A2" s="7">
        <v>1</v>
      </c>
      <c r="B2" s="7">
        <v>1</v>
      </c>
      <c r="C2" s="7" t="s">
        <v>318</v>
      </c>
      <c r="D2" s="7" t="s">
        <v>319</v>
      </c>
    </row>
    <row r="3" spans="1:4" ht="64" x14ac:dyDescent="0.2">
      <c r="A3" s="7">
        <v>2</v>
      </c>
      <c r="B3" s="7">
        <v>1.1000000000000001</v>
      </c>
      <c r="C3" s="7" t="s">
        <v>320</v>
      </c>
      <c r="D3" s="7" t="s">
        <v>321</v>
      </c>
    </row>
    <row r="4" spans="1:4" ht="80" x14ac:dyDescent="0.2">
      <c r="A4" s="7">
        <v>3</v>
      </c>
      <c r="B4" s="7" t="s">
        <v>322</v>
      </c>
      <c r="C4" s="7" t="s">
        <v>323</v>
      </c>
      <c r="D4" s="7" t="s">
        <v>324</v>
      </c>
    </row>
    <row r="5" spans="1:4" ht="64" x14ac:dyDescent="0.2">
      <c r="A5" s="7">
        <v>3</v>
      </c>
      <c r="B5" s="7" t="s">
        <v>325</v>
      </c>
      <c r="C5" s="7" t="s">
        <v>326</v>
      </c>
      <c r="D5" s="7" t="s">
        <v>327</v>
      </c>
    </row>
    <row r="6" spans="1:4" ht="64" x14ac:dyDescent="0.2">
      <c r="A6" s="7">
        <v>2</v>
      </c>
      <c r="B6" s="7">
        <v>1.2</v>
      </c>
      <c r="C6" s="7" t="s">
        <v>328</v>
      </c>
      <c r="D6" s="7" t="s">
        <v>329</v>
      </c>
    </row>
    <row r="7" spans="1:4" ht="48" x14ac:dyDescent="0.2">
      <c r="A7" s="7">
        <v>3</v>
      </c>
      <c r="B7" s="7" t="s">
        <v>330</v>
      </c>
      <c r="C7" s="7" t="s">
        <v>331</v>
      </c>
      <c r="D7" s="7" t="s">
        <v>332</v>
      </c>
    </row>
    <row r="8" spans="1:4" ht="48" x14ac:dyDescent="0.2">
      <c r="A8" s="7">
        <v>3</v>
      </c>
      <c r="B8" s="7" t="s">
        <v>333</v>
      </c>
      <c r="C8" s="7" t="s">
        <v>334</v>
      </c>
      <c r="D8" s="7" t="s">
        <v>335</v>
      </c>
    </row>
    <row r="9" spans="1:4" ht="64" x14ac:dyDescent="0.2">
      <c r="A9" s="7">
        <v>3</v>
      </c>
      <c r="B9" s="7" t="s">
        <v>336</v>
      </c>
      <c r="C9" s="7" t="s">
        <v>337</v>
      </c>
      <c r="D9" s="7" t="s">
        <v>338</v>
      </c>
    </row>
    <row r="10" spans="1:4" ht="48" x14ac:dyDescent="0.2">
      <c r="A10" s="7">
        <v>3</v>
      </c>
      <c r="B10" s="7" t="s">
        <v>339</v>
      </c>
      <c r="C10" s="7" t="s">
        <v>340</v>
      </c>
      <c r="D10" s="7" t="s">
        <v>341</v>
      </c>
    </row>
    <row r="11" spans="1:4" ht="48" x14ac:dyDescent="0.2">
      <c r="A11" s="7">
        <v>3</v>
      </c>
      <c r="B11" s="7" t="s">
        <v>342</v>
      </c>
      <c r="C11" s="7" t="s">
        <v>343</v>
      </c>
      <c r="D11" s="7" t="s">
        <v>344</v>
      </c>
    </row>
    <row r="12" spans="1:4" ht="80" x14ac:dyDescent="0.2">
      <c r="A12" s="7">
        <v>2</v>
      </c>
      <c r="B12" s="7">
        <v>1.3</v>
      </c>
      <c r="C12" s="7" t="s">
        <v>345</v>
      </c>
      <c r="D12" s="7" t="s">
        <v>346</v>
      </c>
    </row>
    <row r="13" spans="1:4" ht="64" x14ac:dyDescent="0.2">
      <c r="A13" s="7">
        <v>3</v>
      </c>
      <c r="B13" s="7" t="s">
        <v>347</v>
      </c>
      <c r="C13" s="7" t="s">
        <v>337</v>
      </c>
      <c r="D13" s="7" t="s">
        <v>348</v>
      </c>
    </row>
    <row r="14" spans="1:4" ht="64" x14ac:dyDescent="0.2">
      <c r="A14" s="7">
        <v>4</v>
      </c>
      <c r="B14" s="7" t="s">
        <v>349</v>
      </c>
      <c r="C14" s="7" t="s">
        <v>350</v>
      </c>
      <c r="D14" s="7" t="s">
        <v>351</v>
      </c>
    </row>
    <row r="15" spans="1:4" ht="64" x14ac:dyDescent="0.2">
      <c r="A15" s="7">
        <v>4</v>
      </c>
      <c r="B15" s="7" t="s">
        <v>352</v>
      </c>
      <c r="C15" s="7" t="s">
        <v>353</v>
      </c>
      <c r="D15" s="7" t="s">
        <v>354</v>
      </c>
    </row>
    <row r="16" spans="1:4" ht="48" x14ac:dyDescent="0.2">
      <c r="A16" s="7">
        <v>3</v>
      </c>
      <c r="B16" s="7" t="s">
        <v>355</v>
      </c>
      <c r="C16" s="7" t="s">
        <v>340</v>
      </c>
      <c r="D16" s="7" t="s">
        <v>356</v>
      </c>
    </row>
    <row r="17" spans="1:4" ht="48" x14ac:dyDescent="0.2">
      <c r="A17" s="7">
        <v>4</v>
      </c>
      <c r="B17" s="7" t="s">
        <v>357</v>
      </c>
      <c r="C17" s="7" t="s">
        <v>358</v>
      </c>
      <c r="D17" s="7" t="s">
        <v>359</v>
      </c>
    </row>
    <row r="18" spans="1:4" ht="48" x14ac:dyDescent="0.2">
      <c r="A18" s="7">
        <v>4</v>
      </c>
      <c r="B18" s="7" t="s">
        <v>360</v>
      </c>
      <c r="C18" s="7" t="s">
        <v>361</v>
      </c>
      <c r="D18" s="7" t="s">
        <v>362</v>
      </c>
    </row>
    <row r="19" spans="1:4" ht="48" x14ac:dyDescent="0.2">
      <c r="A19" s="7">
        <v>4</v>
      </c>
      <c r="B19" s="7" t="s">
        <v>363</v>
      </c>
      <c r="C19" s="7" t="s">
        <v>364</v>
      </c>
      <c r="D19" s="7" t="s">
        <v>365</v>
      </c>
    </row>
    <row r="20" spans="1:4" ht="48" x14ac:dyDescent="0.2">
      <c r="A20" s="7">
        <v>2</v>
      </c>
      <c r="B20" s="7">
        <v>1.4</v>
      </c>
      <c r="C20" s="7" t="s">
        <v>366</v>
      </c>
      <c r="D20" s="7" t="s">
        <v>367</v>
      </c>
    </row>
    <row r="21" spans="1:4" ht="64" x14ac:dyDescent="0.2">
      <c r="A21" s="7">
        <v>3</v>
      </c>
      <c r="B21" s="7" t="s">
        <v>368</v>
      </c>
      <c r="C21" s="7" t="s">
        <v>369</v>
      </c>
      <c r="D21" s="7" t="s">
        <v>370</v>
      </c>
    </row>
    <row r="22" spans="1:4" ht="64" x14ac:dyDescent="0.2">
      <c r="A22" s="7">
        <v>3</v>
      </c>
      <c r="B22" s="7" t="s">
        <v>371</v>
      </c>
      <c r="C22" s="7" t="s">
        <v>372</v>
      </c>
      <c r="D22" s="7" t="s">
        <v>373</v>
      </c>
    </row>
    <row r="23" spans="1:4" ht="64" x14ac:dyDescent="0.2">
      <c r="A23" s="7">
        <v>3</v>
      </c>
      <c r="B23" s="7" t="s">
        <v>374</v>
      </c>
      <c r="C23" s="7" t="s">
        <v>375</v>
      </c>
      <c r="D23" s="7" t="s">
        <v>376</v>
      </c>
    </row>
    <row r="24" spans="1:4" ht="48" x14ac:dyDescent="0.2">
      <c r="A24" s="7">
        <v>3</v>
      </c>
      <c r="B24" s="7" t="s">
        <v>377</v>
      </c>
      <c r="C24" s="7" t="s">
        <v>378</v>
      </c>
      <c r="D24" s="7" t="s">
        <v>379</v>
      </c>
    </row>
    <row r="25" spans="1:4" ht="48" x14ac:dyDescent="0.2">
      <c r="A25" s="7">
        <v>3</v>
      </c>
      <c r="B25" s="7" t="s">
        <v>380</v>
      </c>
      <c r="C25" s="7" t="s">
        <v>381</v>
      </c>
      <c r="D25" s="7" t="s">
        <v>382</v>
      </c>
    </row>
    <row r="26" spans="1:4" ht="48" x14ac:dyDescent="0.2">
      <c r="A26" s="7">
        <v>3</v>
      </c>
      <c r="B26" s="7" t="s">
        <v>383</v>
      </c>
      <c r="C26" s="7" t="s">
        <v>384</v>
      </c>
      <c r="D26" s="7" t="s">
        <v>385</v>
      </c>
    </row>
    <row r="27" spans="1:4" ht="64" x14ac:dyDescent="0.2">
      <c r="A27" s="7">
        <v>3</v>
      </c>
      <c r="B27" s="7" t="s">
        <v>386</v>
      </c>
      <c r="C27" s="7" t="s">
        <v>387</v>
      </c>
      <c r="D27" s="7" t="s">
        <v>388</v>
      </c>
    </row>
    <row r="28" spans="1:4" ht="64" x14ac:dyDescent="0.2">
      <c r="A28" s="7">
        <v>3</v>
      </c>
      <c r="B28" s="7" t="s">
        <v>389</v>
      </c>
      <c r="C28" s="7" t="s">
        <v>390</v>
      </c>
      <c r="D28" s="7" t="s">
        <v>388</v>
      </c>
    </row>
    <row r="29" spans="1:4" ht="48" x14ac:dyDescent="0.2">
      <c r="A29" s="7">
        <v>2</v>
      </c>
      <c r="B29" s="7">
        <v>1.5</v>
      </c>
      <c r="C29" s="7" t="s">
        <v>391</v>
      </c>
      <c r="D29" s="7" t="s">
        <v>392</v>
      </c>
    </row>
    <row r="30" spans="1:4" ht="48" x14ac:dyDescent="0.2">
      <c r="A30" s="7">
        <v>3</v>
      </c>
      <c r="B30" s="7" t="s">
        <v>393</v>
      </c>
      <c r="C30" s="7" t="s">
        <v>394</v>
      </c>
      <c r="D30" s="7" t="s">
        <v>395</v>
      </c>
    </row>
    <row r="31" spans="1:4" ht="48" x14ac:dyDescent="0.2">
      <c r="A31" s="7">
        <v>3</v>
      </c>
      <c r="B31" s="7" t="s">
        <v>396</v>
      </c>
      <c r="C31" s="7" t="s">
        <v>397</v>
      </c>
      <c r="D31" s="7" t="s">
        <v>398</v>
      </c>
    </row>
    <row r="32" spans="1:4" ht="32" x14ac:dyDescent="0.2">
      <c r="A32" s="7">
        <v>3</v>
      </c>
      <c r="B32" s="7" t="s">
        <v>399</v>
      </c>
      <c r="C32" s="7" t="s">
        <v>400</v>
      </c>
      <c r="D32" s="7" t="s">
        <v>401</v>
      </c>
    </row>
    <row r="33" spans="1:4" ht="32" x14ac:dyDescent="0.2">
      <c r="A33" s="7">
        <v>3</v>
      </c>
      <c r="B33" s="7" t="s">
        <v>402</v>
      </c>
      <c r="C33" s="7" t="s">
        <v>403</v>
      </c>
      <c r="D33" s="7" t="s">
        <v>404</v>
      </c>
    </row>
    <row r="34" spans="1:4" ht="32" x14ac:dyDescent="0.2">
      <c r="A34" s="7">
        <v>3</v>
      </c>
      <c r="B34" s="7" t="s">
        <v>405</v>
      </c>
      <c r="C34" s="7" t="s">
        <v>406</v>
      </c>
      <c r="D34" s="7" t="s">
        <v>407</v>
      </c>
    </row>
    <row r="35" spans="1:4" ht="32" x14ac:dyDescent="0.2">
      <c r="A35" s="7">
        <v>3</v>
      </c>
      <c r="B35" s="7" t="s">
        <v>408</v>
      </c>
      <c r="C35" s="7" t="s">
        <v>409</v>
      </c>
      <c r="D35" s="7" t="s">
        <v>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Chart</vt:lpstr>
      <vt:lpstr>k-Milestones</vt:lpstr>
      <vt:lpstr>QA-baseline</vt:lpstr>
      <vt:lpstr>k-Dependences</vt:lpstr>
      <vt:lpstr>Change-control</vt:lpstr>
      <vt:lpstr>Comms-control</vt:lpstr>
      <vt:lpstr>Comms-directory</vt:lpstr>
      <vt:lpstr>WBS-DIC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ESPITIA MANUEL SERGIO</dc:creator>
  <cp:lastModifiedBy>Manuel Perez</cp:lastModifiedBy>
  <dcterms:created xsi:type="dcterms:W3CDTF">2025-07-27T10:27:52Z</dcterms:created>
  <dcterms:modified xsi:type="dcterms:W3CDTF">2026-03-02T09:24:47Z</dcterms:modified>
</cp:coreProperties>
</file>