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nnsee/Documents/Assessments/2026-TERM1/T1B1-BSBCRT611_Apply_critical_thinking_for_complex_problem_solving/2-assessments/"/>
    </mc:Choice>
  </mc:AlternateContent>
  <xr:revisionPtr revIDLastSave="0" documentId="13_ncr:1_{B209C5FE-38B6-7144-8E86-E3BC3B5F7A57}" xr6:coauthVersionLast="47" xr6:coauthVersionMax="47" xr10:uidLastSave="{00000000-0000-0000-0000-000000000000}"/>
  <bookViews>
    <workbookView xWindow="3940" yWindow="2480" windowWidth="20240" windowHeight="10820" activeTab="2" xr2:uid="{E87DA1E5-4B9A-F64B-9951-0716BE63B2DA}"/>
  </bookViews>
  <sheets>
    <sheet name="stakeholders" sheetId="1" r:id="rId1"/>
    <sheet name="financial-graph" sheetId="2" r:id="rId2"/>
    <sheet name="situation-analisys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2" l="1"/>
  <c r="E4" i="2"/>
  <c r="E2" i="2"/>
</calcChain>
</file>

<file path=xl/sharedStrings.xml><?xml version="1.0" encoding="utf-8"?>
<sst xmlns="http://schemas.openxmlformats.org/spreadsheetml/2006/main" count="45" uniqueCount="45">
  <si>
    <t>Stakeholder</t>
  </si>
  <si>
    <t>Association with the Issue</t>
  </si>
  <si>
    <t>Senior Management and Founders</t>
  </si>
  <si>
    <t>Responsible for strategic decisions, financing options, and long-term business models to address supply chain disruptions and cash flow pressures.</t>
  </si>
  <si>
    <t>Operations Team</t>
  </si>
  <si>
    <t>Directly impacted by manufacturing delays, order verification, transportation and shipping issues, and coordination with the Hong Kong factory.</t>
  </si>
  <si>
    <t>Manufacturing Team (Hong Kong)</t>
  </si>
  <si>
    <t>Affected by government restrictions, factory closures, and production uncertainty, contributing to tablet delivery delays.</t>
  </si>
  <si>
    <t>Sales Team</t>
  </si>
  <si>
    <t>Facing increased demand and customer expectations while dealing with product availability delays and overloaded sales processes.</t>
  </si>
  <si>
    <t>Customers (Educational Institutions)</t>
  </si>
  <si>
    <t>Experiencing delivery delays and potential service disruptions, impacting trust and satisfaction.</t>
  </si>
  <si>
    <t>Finance Team and Investors</t>
  </si>
  <si>
    <t>Concerned about declining profits, negative cash flow, and the need to fund increased working capital requirements.</t>
  </si>
  <si>
    <t>IT Professional (My Role)</t>
  </si>
  <si>
    <t>Dedicated to analysing systems and resolving ERP, supply chain, and software delivery issues; evaluates technology solutions to support decision-making and drive future business direction.</t>
  </si>
  <si>
    <t>IT Professional Suppervisor (Divya Sapra)</t>
  </si>
  <si>
    <t>Oversees and supervises the analysis of complex business problems, ensuring that IT and technology solutions effectively address supply chain disruptions, ERP system issues, and the evolving strategic needs of Worlducation.</t>
  </si>
  <si>
    <t>2020 (revised projection)</t>
  </si>
  <si>
    <t>2019 (current)</t>
  </si>
  <si>
    <t>2020 (projection)</t>
  </si>
  <si>
    <t>Performance</t>
  </si>
  <si>
    <t>Revenue (millions)</t>
  </si>
  <si>
    <t>Net Profit (millions)</t>
  </si>
  <si>
    <t>Net cash flow (millions)</t>
  </si>
  <si>
    <t>Profitability</t>
  </si>
  <si>
    <t>*Net margin</t>
  </si>
  <si>
    <t>Weaknesses</t>
  </si>
  <si>
    <t>Threats</t>
  </si>
  <si>
    <t>Situation  Analysis</t>
  </si>
  <si>
    <t>Strengths</t>
  </si>
  <si>
    <r>
      <t>·</t>
    </r>
    <r>
      <rPr>
        <sz val="7"/>
        <color theme="1"/>
        <rFont val="Times New Roman"/>
        <family val="1"/>
      </rPr>
      <t xml:space="preserve">      </t>
    </r>
    <r>
      <rPr>
        <sz val="12"/>
        <color theme="1"/>
        <rFont val="Times New Roman"/>
        <family val="1"/>
      </rPr>
      <t>Value  and  quality</t>
    </r>
  </si>
  <si>
    <r>
      <t>·</t>
    </r>
    <r>
      <rPr>
        <sz val="7"/>
        <color theme="1"/>
        <rFont val="Times New Roman"/>
        <family val="1"/>
      </rPr>
      <t xml:space="preserve">      </t>
    </r>
    <r>
      <rPr>
        <sz val="12"/>
        <color theme="1"/>
        <rFont val="Times New Roman"/>
        <family val="1"/>
      </rPr>
      <t>Strong  management  </t>
    </r>
  </si>
  <si>
    <r>
      <t>·</t>
    </r>
    <r>
      <rPr>
        <sz val="7"/>
        <color theme="1"/>
        <rFont val="Times New Roman"/>
        <family val="1"/>
      </rPr>
      <t xml:space="preserve">      </t>
    </r>
    <r>
      <rPr>
        <sz val="12"/>
        <color theme="1"/>
        <rFont val="Times New Roman"/>
        <family val="1"/>
      </rPr>
      <t>Customer  loyalty</t>
    </r>
  </si>
  <si>
    <r>
      <t>·</t>
    </r>
    <r>
      <rPr>
        <sz val="7"/>
        <color theme="1"/>
        <rFont val="Times New Roman"/>
        <family val="1"/>
      </rPr>
      <t xml:space="preserve">      </t>
    </r>
    <r>
      <rPr>
        <sz val="12"/>
        <color theme="1"/>
        <rFont val="Times New Roman"/>
        <family val="1"/>
      </rPr>
      <t>Friendly  organisational  culture</t>
    </r>
  </si>
  <si>
    <r>
      <t>·</t>
    </r>
    <r>
      <rPr>
        <sz val="7"/>
        <color theme="1"/>
        <rFont val="Times New Roman"/>
        <family val="1"/>
      </rPr>
      <t xml:space="preserve">      </t>
    </r>
    <r>
      <rPr>
        <sz val="12"/>
        <color theme="1"/>
        <rFont val="Times New Roman"/>
        <family val="1"/>
      </rPr>
      <t>Level  of  available  finance  for  investment  </t>
    </r>
  </si>
  <si>
    <r>
      <t>·</t>
    </r>
    <r>
      <rPr>
        <sz val="7"/>
        <color theme="1"/>
        <rFont val="Times New Roman"/>
        <family val="1"/>
      </rPr>
      <t xml:space="preserve">      </t>
    </r>
    <r>
      <rPr>
        <sz val="12"/>
        <color theme="1"/>
        <rFont val="Times New Roman"/>
        <family val="1"/>
      </rPr>
      <t>Brand  name  not  developed  as  well  it  could   be</t>
    </r>
  </si>
  <si>
    <r>
      <t>·</t>
    </r>
    <r>
      <rPr>
        <sz val="7"/>
        <color theme="1"/>
        <rFont val="Times New Roman"/>
        <family val="1"/>
      </rPr>
      <t xml:space="preserve">      </t>
    </r>
    <r>
      <rPr>
        <sz val="12"/>
        <color theme="1"/>
        <rFont val="Times New Roman"/>
        <family val="1"/>
      </rPr>
      <t>Growing organisation  </t>
    </r>
  </si>
  <si>
    <t>Opportunities</t>
  </si>
  <si>
    <r>
      <t>·</t>
    </r>
    <r>
      <rPr>
        <sz val="7"/>
        <color theme="1"/>
        <rFont val="Times New Roman"/>
        <family val="1"/>
      </rPr>
      <t xml:space="preserve">      </t>
    </r>
    <r>
      <rPr>
        <sz val="12"/>
        <color theme="1"/>
        <rFont val="Times New Roman"/>
        <family val="1"/>
      </rPr>
      <t>Schools  needing  to  upgrade  technology</t>
    </r>
  </si>
  <si>
    <r>
      <t>·</t>
    </r>
    <r>
      <rPr>
        <sz val="7"/>
        <color theme="1"/>
        <rFont val="Times New Roman"/>
        <family val="1"/>
      </rPr>
      <t xml:space="preserve">      </t>
    </r>
    <r>
      <rPr>
        <sz val="12"/>
        <color theme="1"/>
        <rFont val="Times New Roman"/>
        <family val="1"/>
      </rPr>
      <t>Opportunities  to  offer  a  range  of  services  </t>
    </r>
  </si>
  <si>
    <r>
      <t>·</t>
    </r>
    <r>
      <rPr>
        <sz val="7"/>
        <color theme="1"/>
        <rFont val="Times New Roman"/>
        <family val="1"/>
      </rPr>
      <t xml:space="preserve">      </t>
    </r>
    <r>
      <rPr>
        <sz val="12"/>
        <color theme="1"/>
        <rFont val="Times New Roman"/>
        <family val="1"/>
      </rPr>
      <t>Oportunities  for  synergies  across  all   services  and  products</t>
    </r>
  </si>
  <si>
    <r>
      <t>·</t>
    </r>
    <r>
      <rPr>
        <sz val="7"/>
        <color theme="1"/>
        <rFont val="Times New Roman"/>
        <family val="1"/>
      </rPr>
      <t xml:space="preserve">      </t>
    </r>
    <r>
      <rPr>
        <sz val="12"/>
        <color theme="1"/>
        <rFont val="Times New Roman"/>
        <family val="1"/>
      </rPr>
      <t>High  level  of  competition  </t>
    </r>
  </si>
  <si>
    <r>
      <t>·</t>
    </r>
    <r>
      <rPr>
        <sz val="7"/>
        <color theme="1"/>
        <rFont val="Times New Roman"/>
        <family val="1"/>
      </rPr>
      <t xml:space="preserve">      </t>
    </r>
    <r>
      <rPr>
        <sz val="12"/>
        <color theme="1"/>
        <rFont val="Times New Roman"/>
        <family val="1"/>
      </rPr>
      <t>Economic  downturn  meaning  less  spent   generally  </t>
    </r>
  </si>
  <si>
    <r>
      <t>·</t>
    </r>
    <r>
      <rPr>
        <sz val="7"/>
        <color theme="1"/>
        <rFont val="Times New Roman"/>
        <family val="1"/>
      </rPr>
      <t xml:space="preserve">      </t>
    </r>
    <r>
      <rPr>
        <sz val="12"/>
        <color theme="1"/>
        <rFont val="Times New Roman"/>
        <family val="1"/>
      </rPr>
      <t>Failing  to  satisfy  clients  demands  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</si>
</sst>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$-C09]* #,##0_-;\-[$$-C09]* #,##0_-;_-[$$-C09]* &quot;-&quot;??_-;_-@_-"/>
  </numFmts>
  <fonts count="11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2"/>
      <color rgb="FF000000"/>
      <name val="Arial"/>
      <family val="2"/>
    </font>
    <font>
      <sz val="12"/>
      <color rgb="FF1F1F1F"/>
      <name val="Arial"/>
      <family val="2"/>
    </font>
    <font>
      <b/>
      <sz val="12"/>
      <color rgb="FF1F1F1F"/>
      <name val="Arial"/>
      <family val="2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Symbol"/>
      <charset val="2"/>
    </font>
    <font>
      <sz val="7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E7E6E6"/>
        <bgColor indexed="64"/>
      </patternFill>
    </fill>
    <fill>
      <patternFill patternType="solid">
        <fgColor theme="2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2">
    <xf numFmtId="0" fontId="0" fillId="0" borderId="0" xfId="0"/>
    <xf numFmtId="0" fontId="3" fillId="2" borderId="1" xfId="0" applyFont="1" applyFill="1" applyBorder="1" applyAlignment="1">
      <alignment vertical="center" wrapText="1"/>
    </xf>
    <xf numFmtId="0" fontId="3" fillId="2" borderId="2" xfId="0" applyFont="1" applyFill="1" applyBorder="1" applyAlignment="1">
      <alignment vertical="center" wrapText="1"/>
    </xf>
    <xf numFmtId="0" fontId="3" fillId="2" borderId="4" xfId="0" applyFont="1" applyFill="1" applyBorder="1" applyAlignment="1">
      <alignment vertical="center" wrapText="1"/>
    </xf>
    <xf numFmtId="0" fontId="4" fillId="0" borderId="5" xfId="0" applyFont="1" applyBorder="1" applyAlignment="1">
      <alignment vertical="center" wrapText="1"/>
    </xf>
    <xf numFmtId="0" fontId="3" fillId="2" borderId="3" xfId="0" applyFont="1" applyFill="1" applyBorder="1" applyAlignment="1">
      <alignment vertical="center" wrapText="1"/>
    </xf>
    <xf numFmtId="0" fontId="4" fillId="0" borderId="3" xfId="0" applyFont="1" applyBorder="1" applyAlignment="1">
      <alignment vertical="center" wrapText="1"/>
    </xf>
    <xf numFmtId="0" fontId="0" fillId="0" borderId="3" xfId="0" applyBorder="1" applyAlignment="1">
      <alignment wrapText="1"/>
    </xf>
    <xf numFmtId="0" fontId="6" fillId="3" borderId="3" xfId="0" applyFont="1" applyFill="1" applyBorder="1" applyAlignment="1">
      <alignment wrapText="1"/>
    </xf>
    <xf numFmtId="164" fontId="0" fillId="0" borderId="3" xfId="0" applyNumberFormat="1" applyBorder="1"/>
    <xf numFmtId="164" fontId="5" fillId="0" borderId="3" xfId="0" applyNumberFormat="1" applyFont="1" applyBorder="1" applyAlignment="1">
      <alignment wrapText="1"/>
    </xf>
    <xf numFmtId="0" fontId="6" fillId="3" borderId="3" xfId="0" applyFont="1" applyFill="1" applyBorder="1"/>
    <xf numFmtId="0" fontId="0" fillId="0" borderId="0" xfId="0" applyAlignment="1">
      <alignment wrapText="1"/>
    </xf>
    <xf numFmtId="0" fontId="2" fillId="3" borderId="3" xfId="0" applyFont="1" applyFill="1" applyBorder="1" applyAlignment="1">
      <alignment vertical="center" wrapText="1"/>
    </xf>
    <xf numFmtId="0" fontId="2" fillId="3" borderId="3" xfId="0" applyFont="1" applyFill="1" applyBorder="1" applyAlignment="1">
      <alignment vertical="center"/>
    </xf>
    <xf numFmtId="0" fontId="0" fillId="0" borderId="0" xfId="0" applyAlignment="1">
      <alignment vertical="center"/>
    </xf>
    <xf numFmtId="0" fontId="2" fillId="3" borderId="6" xfId="0" applyFont="1" applyFill="1" applyBorder="1" applyAlignment="1">
      <alignment vertical="center"/>
    </xf>
    <xf numFmtId="9" fontId="0" fillId="0" borderId="3" xfId="1" applyFont="1" applyBorder="1"/>
    <xf numFmtId="0" fontId="2" fillId="3" borderId="0" xfId="0" applyFont="1" applyFill="1" applyAlignment="1">
      <alignment horizontal="left" vertical="center" wrapText="1"/>
    </xf>
    <xf numFmtId="0" fontId="8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9" fillId="0" borderId="0" xfId="0" applyFont="1" applyAlignment="1">
      <alignment horizontal="left" vertical="center" indent="4"/>
    </xf>
  </cellXfs>
  <cellStyles count="2">
    <cellStyle name="Normal" xfId="0" builtinId="0"/>
    <cellStyle name="Per 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none" spc="0" normalizeH="0" baseline="0">
                <a:solidFill>
                  <a:schemeClr val="tx1"/>
                </a:solidFill>
                <a:latin typeface="+mj-lt"/>
                <a:ea typeface="+mj-ea"/>
                <a:cs typeface="+mj-cs"/>
              </a:defRPr>
            </a:pPr>
            <a:r>
              <a:rPr lang="en-GB" b="1">
                <a:solidFill>
                  <a:schemeClr val="tx1"/>
                </a:solidFill>
              </a:rPr>
              <a:t>Performance</a:t>
            </a:r>
            <a:r>
              <a:rPr lang="en-GB" b="1" baseline="0">
                <a:solidFill>
                  <a:schemeClr val="tx1"/>
                </a:solidFill>
              </a:rPr>
              <a:t> Current vs Projection vs Revised</a:t>
            </a:r>
            <a:endParaRPr lang="en-GB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none" spc="0" normalizeH="0" baseline="0">
              <a:solidFill>
                <a:schemeClr val="tx1"/>
              </a:solidFill>
              <a:latin typeface="+mj-lt"/>
              <a:ea typeface="+mj-ea"/>
              <a:cs typeface="+mj-cs"/>
            </a:defRPr>
          </a:pPr>
          <a:endParaRPr lang="en-GB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'financial-graph'!$A$2</c:f>
              <c:strCache>
                <c:ptCount val="1"/>
                <c:pt idx="0">
                  <c:v>2019 (current)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'financial-graph'!$B$1:$D$1</c:f>
              <c:strCache>
                <c:ptCount val="3"/>
                <c:pt idx="0">
                  <c:v>Revenue (millions)</c:v>
                </c:pt>
                <c:pt idx="1">
                  <c:v>Net Profit (millions)</c:v>
                </c:pt>
                <c:pt idx="2">
                  <c:v>Net cash flow (millions)</c:v>
                </c:pt>
              </c:strCache>
            </c:strRef>
          </c:cat>
          <c:val>
            <c:numRef>
              <c:f>'financial-graph'!$B$2:$D$2</c:f>
              <c:numCache>
                <c:formatCode>_-[$$-C09]* #,##0_-;\-[$$-C09]* #,##0_-;_-[$$-C09]* "-"??_-;_-@_-</c:formatCode>
                <c:ptCount val="3"/>
                <c:pt idx="0">
                  <c:v>35</c:v>
                </c:pt>
                <c:pt idx="1">
                  <c:v>7</c:v>
                </c:pt>
                <c:pt idx="2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684-8F49-A1A5-4BEFF88D3724}"/>
            </c:ext>
          </c:extLst>
        </c:ser>
        <c:ser>
          <c:idx val="1"/>
          <c:order val="1"/>
          <c:tx>
            <c:strRef>
              <c:f>'financial-graph'!$A$3</c:f>
              <c:strCache>
                <c:ptCount val="1"/>
                <c:pt idx="0">
                  <c:v>2020 (projection)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'financial-graph'!$B$1:$D$1</c:f>
              <c:strCache>
                <c:ptCount val="3"/>
                <c:pt idx="0">
                  <c:v>Revenue (millions)</c:v>
                </c:pt>
                <c:pt idx="1">
                  <c:v>Net Profit (millions)</c:v>
                </c:pt>
                <c:pt idx="2">
                  <c:v>Net cash flow (millions)</c:v>
                </c:pt>
              </c:strCache>
            </c:strRef>
          </c:cat>
          <c:val>
            <c:numRef>
              <c:f>'financial-graph'!$B$3:$D$3</c:f>
              <c:numCache>
                <c:formatCode>_-[$$-C09]* #,##0_-;\-[$$-C09]* #,##0_-;_-[$$-C09]* "-"??_-;_-@_-</c:formatCode>
                <c:ptCount val="3"/>
                <c:pt idx="0">
                  <c:v>45</c:v>
                </c:pt>
                <c:pt idx="1">
                  <c:v>9</c:v>
                </c:pt>
                <c:pt idx="2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684-8F49-A1A5-4BEFF88D3724}"/>
            </c:ext>
          </c:extLst>
        </c:ser>
        <c:ser>
          <c:idx val="2"/>
          <c:order val="2"/>
          <c:tx>
            <c:strRef>
              <c:f>'financial-graph'!$A$4</c:f>
              <c:strCache>
                <c:ptCount val="1"/>
                <c:pt idx="0">
                  <c:v>2020 (revised projection)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dLbl>
              <c:idx val="2"/>
              <c:layout>
                <c:manualLayout>
                  <c:x val="0"/>
                  <c:y val="0.10179691595422197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A2A3-CA4B-AF7A-227C7E52C73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'financial-graph'!$B$1:$D$1</c:f>
              <c:strCache>
                <c:ptCount val="3"/>
                <c:pt idx="0">
                  <c:v>Revenue (millions)</c:v>
                </c:pt>
                <c:pt idx="1">
                  <c:v>Net Profit (millions)</c:v>
                </c:pt>
                <c:pt idx="2">
                  <c:v>Net cash flow (millions)</c:v>
                </c:pt>
              </c:strCache>
            </c:strRef>
          </c:cat>
          <c:val>
            <c:numRef>
              <c:f>'financial-graph'!$B$4:$D$4</c:f>
              <c:numCache>
                <c:formatCode>_-[$$-C09]* #,##0_-;\-[$$-C09]* #,##0_-;_-[$$-C09]* "-"??_-;_-@_-</c:formatCode>
                <c:ptCount val="3"/>
                <c:pt idx="0">
                  <c:v>55</c:v>
                </c:pt>
                <c:pt idx="1">
                  <c:v>5</c:v>
                </c:pt>
                <c:pt idx="2">
                  <c:v>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684-8F49-A1A5-4BEFF88D372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67"/>
        <c:overlap val="-43"/>
        <c:axId val="854596160"/>
        <c:axId val="854594368"/>
      </c:barChart>
      <c:catAx>
        <c:axId val="8545961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4594368"/>
        <c:crosses val="autoZero"/>
        <c:auto val="1"/>
        <c:lblAlgn val="ctr"/>
        <c:lblOffset val="100"/>
        <c:noMultiLvlLbl val="0"/>
      </c:catAx>
      <c:valAx>
        <c:axId val="8545943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$-C09]* #,##0_-;\-[$$-C09]* #,##0_-;_-[$$-C09]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4596160"/>
        <c:crosses val="autoZero"/>
        <c:crossBetween val="between"/>
        <c:majorUnit val="13"/>
      </c:valAx>
      <c:spPr>
        <a:noFill/>
        <a:ln>
          <a:solidFill>
            <a:schemeClr val="accent4"/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>
                <a:solidFill>
                  <a:schemeClr val="tx1"/>
                </a:solidFill>
                <a:latin typeface="+mj-lt"/>
              </a:rPr>
              <a:t>Profitability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'financial-graph'!$B$1</c:f>
              <c:strCache>
                <c:ptCount val="1"/>
                <c:pt idx="0">
                  <c:v>Revenue (millions)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'financial-graph'!$A$2:$A$4</c:f>
              <c:strCache>
                <c:ptCount val="3"/>
                <c:pt idx="0">
                  <c:v>2019 (current)</c:v>
                </c:pt>
                <c:pt idx="1">
                  <c:v>2020 (projection)</c:v>
                </c:pt>
                <c:pt idx="2">
                  <c:v>2020 (revised projection)</c:v>
                </c:pt>
              </c:strCache>
            </c:strRef>
          </c:cat>
          <c:val>
            <c:numRef>
              <c:f>'financial-graph'!$B$2:$B$4</c:f>
              <c:numCache>
                <c:formatCode>_-[$$-C09]* #,##0_-;\-[$$-C09]* #,##0_-;_-[$$-C09]* "-"??_-;_-@_-</c:formatCode>
                <c:ptCount val="3"/>
                <c:pt idx="0">
                  <c:v>35</c:v>
                </c:pt>
                <c:pt idx="1">
                  <c:v>45</c:v>
                </c:pt>
                <c:pt idx="2">
                  <c:v>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19F-2249-892B-E99851F55EDE}"/>
            </c:ext>
          </c:extLst>
        </c:ser>
        <c:ser>
          <c:idx val="1"/>
          <c:order val="1"/>
          <c:tx>
            <c:strRef>
              <c:f>'financial-graph'!$C$1</c:f>
              <c:strCache>
                <c:ptCount val="1"/>
                <c:pt idx="0">
                  <c:v>Net Profit (millions)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'financial-graph'!$A$2:$A$4</c:f>
              <c:strCache>
                <c:ptCount val="3"/>
                <c:pt idx="0">
                  <c:v>2019 (current)</c:v>
                </c:pt>
                <c:pt idx="1">
                  <c:v>2020 (projection)</c:v>
                </c:pt>
                <c:pt idx="2">
                  <c:v>2020 (revised projection)</c:v>
                </c:pt>
              </c:strCache>
            </c:strRef>
          </c:cat>
          <c:val>
            <c:numRef>
              <c:f>'financial-graph'!$C$2:$C$4</c:f>
              <c:numCache>
                <c:formatCode>_-[$$-C09]* #,##0_-;\-[$$-C09]* #,##0_-;_-[$$-C09]* "-"??_-;_-@_-</c:formatCode>
                <c:ptCount val="3"/>
                <c:pt idx="0">
                  <c:v>7</c:v>
                </c:pt>
                <c:pt idx="1">
                  <c:v>9</c:v>
                </c:pt>
                <c:pt idx="2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19F-2249-892B-E99851F55EDE}"/>
            </c:ext>
          </c:extLst>
        </c:ser>
        <c:ser>
          <c:idx val="2"/>
          <c:order val="2"/>
          <c:tx>
            <c:strRef>
              <c:f>'financial-graph'!$D$1</c:f>
              <c:strCache>
                <c:ptCount val="1"/>
                <c:pt idx="0">
                  <c:v>Net cash flow (millions)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'financial-graph'!$A$2:$A$4</c:f>
              <c:strCache>
                <c:ptCount val="3"/>
                <c:pt idx="0">
                  <c:v>2019 (current)</c:v>
                </c:pt>
                <c:pt idx="1">
                  <c:v>2020 (projection)</c:v>
                </c:pt>
                <c:pt idx="2">
                  <c:v>2020 (revised projection)</c:v>
                </c:pt>
              </c:strCache>
            </c:strRef>
          </c:cat>
          <c:val>
            <c:numRef>
              <c:f>'financial-graph'!$D$2:$D$4</c:f>
              <c:numCache>
                <c:formatCode>_-[$$-C09]* #,##0_-;\-[$$-C09]* #,##0_-;_-[$$-C09]* "-"??_-;_-@_-</c:formatCode>
                <c:ptCount val="3"/>
                <c:pt idx="0">
                  <c:v>4</c:v>
                </c:pt>
                <c:pt idx="1">
                  <c:v>5</c:v>
                </c:pt>
                <c:pt idx="2">
                  <c:v>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19F-2249-892B-E99851F55E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01443584"/>
        <c:axId val="1401447168"/>
      </c:barChart>
      <c:lineChart>
        <c:grouping val="standard"/>
        <c:varyColors val="0"/>
        <c:ser>
          <c:idx val="3"/>
          <c:order val="3"/>
          <c:tx>
            <c:strRef>
              <c:f>'financial-graph'!$E$1</c:f>
              <c:strCache>
                <c:ptCount val="1"/>
                <c:pt idx="0">
                  <c:v>Profitability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6.368932290648821E-2"/>
                  <c:y val="-4.2591909910500235E-2"/>
                </c:manualLayout>
              </c:layout>
              <c:dLblPos val="r"/>
              <c:showLegendKey val="0"/>
              <c:showVal val="1"/>
              <c:showCatName val="0"/>
              <c:showSerName val="1"/>
              <c:showPercent val="0"/>
              <c:showBubbleSize val="0"/>
              <c:separator>,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F19F-2249-892B-E99851F55EDE}"/>
                </c:ext>
              </c:extLst>
            </c:dLbl>
            <c:dLbl>
              <c:idx val="1"/>
              <c:layout>
                <c:manualLayout>
                  <c:x val="-6.8264291237440683E-2"/>
                  <c:y val="-4.2591909910500235E-2"/>
                </c:manualLayout>
              </c:layout>
              <c:dLblPos val="r"/>
              <c:showLegendKey val="0"/>
              <c:showVal val="1"/>
              <c:showCatName val="0"/>
              <c:showSerName val="1"/>
              <c:showPercent val="0"/>
              <c:showBubbleSize val="0"/>
              <c:separator>,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F19F-2249-892B-E99851F55EDE}"/>
                </c:ext>
              </c:extLst>
            </c:dLbl>
            <c:dLbl>
              <c:idx val="2"/>
              <c:layout>
                <c:manualLayout>
                  <c:x val="-3.6239512920773424E-2"/>
                  <c:y val="-6.8802316009269671E-2"/>
                </c:manualLayout>
              </c:layout>
              <c:dLblPos val="r"/>
              <c:showLegendKey val="0"/>
              <c:showVal val="1"/>
              <c:showCatName val="0"/>
              <c:showSerName val="1"/>
              <c:showPercent val="0"/>
              <c:showBubbleSize val="0"/>
              <c:separator>,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F19F-2249-892B-E99851F55ED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1"/>
            <c:showPercent val="0"/>
            <c:showBubbleSize val="0"/>
            <c:separator>,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'financial-graph'!$A$2:$A$4</c:f>
              <c:strCache>
                <c:ptCount val="3"/>
                <c:pt idx="0">
                  <c:v>2019 (current)</c:v>
                </c:pt>
                <c:pt idx="1">
                  <c:v>2020 (projection)</c:v>
                </c:pt>
                <c:pt idx="2">
                  <c:v>2020 (revised projection)</c:v>
                </c:pt>
              </c:strCache>
            </c:strRef>
          </c:cat>
          <c:val>
            <c:numRef>
              <c:f>'financial-graph'!$E$2:$E$4</c:f>
              <c:numCache>
                <c:formatCode>0%</c:formatCode>
                <c:ptCount val="3"/>
                <c:pt idx="0">
                  <c:v>0.2</c:v>
                </c:pt>
                <c:pt idx="1">
                  <c:v>0.2</c:v>
                </c:pt>
                <c:pt idx="2">
                  <c:v>9.0909090909090912E-2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19F-2249-892B-E99851F55E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68305472"/>
        <c:axId val="1368302784"/>
      </c:lineChart>
      <c:catAx>
        <c:axId val="14014435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1447168"/>
        <c:crosses val="autoZero"/>
        <c:auto val="1"/>
        <c:lblAlgn val="ctr"/>
        <c:lblOffset val="100"/>
        <c:noMultiLvlLbl val="0"/>
      </c:catAx>
      <c:valAx>
        <c:axId val="14014471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$-C09]* #,##0_-;\-[$$-C09]* #,##0_-;_-[$$-C09]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1443584"/>
        <c:crosses val="autoZero"/>
        <c:crossBetween val="between"/>
      </c:valAx>
      <c:valAx>
        <c:axId val="1368302784"/>
        <c:scaling>
          <c:orientation val="minMax"/>
        </c:scaling>
        <c:delete val="0"/>
        <c:axPos val="r"/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8305472"/>
        <c:crosses val="max"/>
        <c:crossBetween val="between"/>
      </c:valAx>
      <c:catAx>
        <c:axId val="136830547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36830278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8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40408</xdr:colOff>
      <xdr:row>5</xdr:row>
      <xdr:rowOff>25401</xdr:rowOff>
    </xdr:from>
    <xdr:to>
      <xdr:col>3</xdr:col>
      <xdr:colOff>1431635</xdr:colOff>
      <xdr:row>23</xdr:row>
      <xdr:rowOff>196272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B9945E54-E04C-DBD0-5DEE-4E75049CFCC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41782</xdr:colOff>
      <xdr:row>24</xdr:row>
      <xdr:rowOff>42818</xdr:rowOff>
    </xdr:from>
    <xdr:to>
      <xdr:col>3</xdr:col>
      <xdr:colOff>1437570</xdr:colOff>
      <xdr:row>43</xdr:row>
      <xdr:rowOff>65043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EA1030C-DF8D-C3BB-E3AC-22B681E1D98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0E6181-8883-D348-805C-80C561C476C8}">
  <dimension ref="A1:B21"/>
  <sheetViews>
    <sheetView workbookViewId="0">
      <selection activeCell="B23" sqref="B23"/>
    </sheetView>
  </sheetViews>
  <sheetFormatPr baseColWidth="10" defaultRowHeight="16" x14ac:dyDescent="0.2"/>
  <cols>
    <col min="1" max="1" width="33" customWidth="1"/>
    <col min="2" max="2" width="104.6640625" customWidth="1"/>
  </cols>
  <sheetData>
    <row r="1" spans="1:2" ht="18" thickBot="1" x14ac:dyDescent="0.25">
      <c r="A1" s="1" t="s">
        <v>0</v>
      </c>
      <c r="B1" s="2" t="s">
        <v>1</v>
      </c>
    </row>
    <row r="2" spans="1:2" ht="34" x14ac:dyDescent="0.2">
      <c r="A2" s="3" t="s">
        <v>2</v>
      </c>
      <c r="B2" s="4" t="s">
        <v>3</v>
      </c>
    </row>
    <row r="3" spans="1:2" ht="34" x14ac:dyDescent="0.2">
      <c r="A3" s="5" t="s">
        <v>4</v>
      </c>
      <c r="B3" s="6" t="s">
        <v>5</v>
      </c>
    </row>
    <row r="4" spans="1:2" ht="34" x14ac:dyDescent="0.2">
      <c r="A4" s="5" t="s">
        <v>6</v>
      </c>
      <c r="B4" s="6" t="s">
        <v>7</v>
      </c>
    </row>
    <row r="5" spans="1:2" ht="34" x14ac:dyDescent="0.2">
      <c r="A5" s="5" t="s">
        <v>8</v>
      </c>
      <c r="B5" s="6" t="s">
        <v>9</v>
      </c>
    </row>
    <row r="6" spans="1:2" ht="34" x14ac:dyDescent="0.2">
      <c r="A6" s="5" t="s">
        <v>10</v>
      </c>
      <c r="B6" s="6" t="s">
        <v>11</v>
      </c>
    </row>
    <row r="7" spans="1:2" ht="34" x14ac:dyDescent="0.2">
      <c r="A7" s="5" t="s">
        <v>12</v>
      </c>
      <c r="B7" s="6" t="s">
        <v>13</v>
      </c>
    </row>
    <row r="8" spans="1:2" ht="34" x14ac:dyDescent="0.2">
      <c r="A8" s="5" t="s">
        <v>14</v>
      </c>
      <c r="B8" s="7" t="s">
        <v>15</v>
      </c>
    </row>
    <row r="9" spans="1:2" ht="34" x14ac:dyDescent="0.2">
      <c r="A9" s="5" t="s">
        <v>16</v>
      </c>
      <c r="B9" s="7" t="s">
        <v>17</v>
      </c>
    </row>
    <row r="15" spans="1:2" ht="17" customHeight="1" x14ac:dyDescent="0.2"/>
    <row r="18" ht="17" customHeight="1" x14ac:dyDescent="0.2"/>
    <row r="21" ht="17" customHeight="1" x14ac:dyDescent="0.2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476213-BC4A-3745-933A-D22D94390F74}">
  <dimension ref="A1:F27"/>
  <sheetViews>
    <sheetView zoomScale="144" zoomScaleNormal="110" workbookViewId="0">
      <selection activeCell="E25" sqref="E25"/>
    </sheetView>
  </sheetViews>
  <sheetFormatPr baseColWidth="10" defaultRowHeight="16" x14ac:dyDescent="0.2"/>
  <cols>
    <col min="1" max="1" width="29.33203125" customWidth="1"/>
    <col min="2" max="2" width="16.83203125" bestFit="1" customWidth="1"/>
    <col min="3" max="3" width="17.6640625" bestFit="1" customWidth="1"/>
    <col min="4" max="4" width="21" bestFit="1" customWidth="1"/>
    <col min="5" max="5" width="17.6640625" customWidth="1"/>
  </cols>
  <sheetData>
    <row r="1" spans="1:6" s="15" customFormat="1" ht="33" customHeight="1" x14ac:dyDescent="0.2">
      <c r="A1" s="13" t="s">
        <v>21</v>
      </c>
      <c r="B1" s="14" t="s">
        <v>22</v>
      </c>
      <c r="C1" s="14" t="s">
        <v>23</v>
      </c>
      <c r="D1" s="16" t="s">
        <v>24</v>
      </c>
      <c r="E1" s="18" t="s">
        <v>25</v>
      </c>
      <c r="F1" s="15" t="s">
        <v>26</v>
      </c>
    </row>
    <row r="2" spans="1:6" ht="16" customHeight="1" x14ac:dyDescent="0.2">
      <c r="A2" s="8" t="s">
        <v>19</v>
      </c>
      <c r="B2" s="9">
        <v>35</v>
      </c>
      <c r="C2" s="9">
        <v>7</v>
      </c>
      <c r="D2" s="9">
        <v>4</v>
      </c>
      <c r="E2" s="17">
        <f>C2/B2</f>
        <v>0.2</v>
      </c>
    </row>
    <row r="3" spans="1:6" ht="16" customHeight="1" x14ac:dyDescent="0.2">
      <c r="A3" s="8" t="s">
        <v>20</v>
      </c>
      <c r="B3" s="10">
        <v>45</v>
      </c>
      <c r="C3" s="9">
        <v>9</v>
      </c>
      <c r="D3" s="9">
        <v>5</v>
      </c>
      <c r="E3" s="17">
        <f t="shared" ref="E3:E4" si="0">C3/B3</f>
        <v>0.2</v>
      </c>
    </row>
    <row r="4" spans="1:6" x14ac:dyDescent="0.2">
      <c r="A4" s="11" t="s">
        <v>18</v>
      </c>
      <c r="B4" s="10">
        <v>55</v>
      </c>
      <c r="C4" s="9">
        <v>5</v>
      </c>
      <c r="D4" s="9">
        <v>-3</v>
      </c>
      <c r="E4" s="17">
        <f t="shared" si="0"/>
        <v>9.0909090909090912E-2</v>
      </c>
    </row>
    <row r="27" spans="1:3" s="12" customFormat="1" x14ac:dyDescent="0.2">
      <c r="A27"/>
      <c r="B27"/>
      <c r="C27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CFD06D-6C49-3A4C-9518-D2E4C3F9F268}">
  <dimension ref="A1:A21"/>
  <sheetViews>
    <sheetView tabSelected="1" workbookViewId="0">
      <selection activeCell="A2" sqref="A2:D21"/>
    </sheetView>
  </sheetViews>
  <sheetFormatPr baseColWidth="10" defaultRowHeight="16" x14ac:dyDescent="0.2"/>
  <sheetData>
    <row r="1" spans="1:1" x14ac:dyDescent="0.2">
      <c r="A1" s="19" t="s">
        <v>29</v>
      </c>
    </row>
    <row r="2" spans="1:1" x14ac:dyDescent="0.2">
      <c r="A2" s="20" t="s">
        <v>30</v>
      </c>
    </row>
    <row r="3" spans="1:1" x14ac:dyDescent="0.2">
      <c r="A3" s="21" t="s">
        <v>31</v>
      </c>
    </row>
    <row r="4" spans="1:1" x14ac:dyDescent="0.2">
      <c r="A4" s="21" t="s">
        <v>32</v>
      </c>
    </row>
    <row r="5" spans="1:1" x14ac:dyDescent="0.2">
      <c r="A5" s="21" t="s">
        <v>33</v>
      </c>
    </row>
    <row r="6" spans="1:1" x14ac:dyDescent="0.2">
      <c r="A6" s="21" t="s">
        <v>34</v>
      </c>
    </row>
    <row r="7" spans="1:1" x14ac:dyDescent="0.2">
      <c r="A7" s="21" t="s">
        <v>35</v>
      </c>
    </row>
    <row r="8" spans="1:1" x14ac:dyDescent="0.2">
      <c r="A8" s="20"/>
    </row>
    <row r="9" spans="1:1" x14ac:dyDescent="0.2">
      <c r="A9" s="20" t="s">
        <v>27</v>
      </c>
    </row>
    <row r="10" spans="1:1" x14ac:dyDescent="0.2">
      <c r="A10" s="21" t="s">
        <v>36</v>
      </c>
    </row>
    <row r="11" spans="1:1" x14ac:dyDescent="0.2">
      <c r="A11" s="21" t="s">
        <v>37</v>
      </c>
    </row>
    <row r="12" spans="1:1" x14ac:dyDescent="0.2">
      <c r="A12" s="20"/>
    </row>
    <row r="13" spans="1:1" x14ac:dyDescent="0.2">
      <c r="A13" s="20" t="s">
        <v>38</v>
      </c>
    </row>
    <row r="14" spans="1:1" x14ac:dyDescent="0.2">
      <c r="A14" s="21" t="s">
        <v>39</v>
      </c>
    </row>
    <row r="15" spans="1:1" x14ac:dyDescent="0.2">
      <c r="A15" s="21" t="s">
        <v>40</v>
      </c>
    </row>
    <row r="16" spans="1:1" x14ac:dyDescent="0.2">
      <c r="A16" s="21" t="s">
        <v>41</v>
      </c>
    </row>
    <row r="17" spans="1:1" x14ac:dyDescent="0.2">
      <c r="A17" s="20"/>
    </row>
    <row r="18" spans="1:1" x14ac:dyDescent="0.2">
      <c r="A18" s="20" t="s">
        <v>28</v>
      </c>
    </row>
    <row r="19" spans="1:1" x14ac:dyDescent="0.2">
      <c r="A19" s="21" t="s">
        <v>42</v>
      </c>
    </row>
    <row r="20" spans="1:1" x14ac:dyDescent="0.2">
      <c r="A20" s="21" t="s">
        <v>43</v>
      </c>
    </row>
    <row r="21" spans="1:1" x14ac:dyDescent="0.2">
      <c r="A21" s="21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stakeholders</vt:lpstr>
      <vt:lpstr>financial-graph</vt:lpstr>
      <vt:lpstr>situation-analisys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Manuel Perez</dc:creator>
  <cp:lastModifiedBy>Manuel Perez</cp:lastModifiedBy>
  <dcterms:created xsi:type="dcterms:W3CDTF">2026-01-25T04:03:11Z</dcterms:created>
  <dcterms:modified xsi:type="dcterms:W3CDTF">2026-01-29T15:56:44Z</dcterms:modified>
</cp:coreProperties>
</file>