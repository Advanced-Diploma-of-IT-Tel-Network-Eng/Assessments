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nue\Documents\Assessments\TERM4\T4B2-ICTICT608-Interact_with_clients\2-assessments\2-Timeline_and_costs\"/>
    </mc:Choice>
  </mc:AlternateContent>
  <xr:revisionPtr revIDLastSave="0" documentId="13_ncr:1_{C6308216-E12B-4EB8-9FAD-8763AF63F732}" xr6:coauthVersionLast="47" xr6:coauthVersionMax="47" xr10:uidLastSave="{00000000-0000-0000-0000-000000000000}"/>
  <bookViews>
    <workbookView xWindow="-108" yWindow="-108" windowWidth="23256" windowHeight="12456" activeTab="2" xr2:uid="{5C832B60-3FF6-4696-BB68-B818C051FE04}"/>
  </bookViews>
  <sheets>
    <sheet name="Cost1" sheetId="1" r:id="rId1"/>
    <sheet name="Cost2" sheetId="2" r:id="rId2"/>
    <sheet name="activiti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D5" i="2"/>
  <c r="B17" i="1"/>
  <c r="D4" i="2"/>
  <c r="D3" i="2"/>
  <c r="D15" i="1"/>
</calcChain>
</file>

<file path=xl/sharedStrings.xml><?xml version="1.0" encoding="utf-8"?>
<sst xmlns="http://schemas.openxmlformats.org/spreadsheetml/2006/main" count="253" uniqueCount="97">
  <si>
    <t>Simple Website construction</t>
  </si>
  <si>
    <t>Staff training</t>
  </si>
  <si>
    <t>Service</t>
  </si>
  <si>
    <t>Fee</t>
  </si>
  <si>
    <t>Monthly Fee</t>
  </si>
  <si>
    <t>First Year</t>
  </si>
  <si>
    <t>= 3-month project</t>
  </si>
  <si>
    <t>Total  First Year</t>
  </si>
  <si>
    <t>= 8 hours training</t>
  </si>
  <si>
    <t xml:space="preserve">In Australia, an SME is defined as having between 20 and 199 employees. Therefore, I will use that data as a reference. </t>
  </si>
  <si>
    <t>= 20 employees.</t>
  </si>
  <si>
    <t>Staff training (x4)</t>
  </si>
  <si>
    <t>progress</t>
  </si>
  <si>
    <t xml:space="preserve">Also, based on my experience as a trainer, I typically trained staff in 4-long training sessions, so I'm going to assume that a total of 8 hours of training is required. </t>
  </si>
  <si>
    <t>Managed Email Services (1 year after project)</t>
  </si>
  <si>
    <t>Website maintenance (6 months after project)</t>
  </si>
  <si>
    <t>Status</t>
  </si>
  <si>
    <r>
      <t xml:space="preserve">Achieved  </t>
    </r>
    <r>
      <rPr>
        <b/>
        <sz val="9"/>
        <color rgb="FFFFC000"/>
        <rFont val="Arial"/>
        <family val="2"/>
      </rPr>
      <t xml:space="preserve">In progress  </t>
    </r>
    <r>
      <rPr>
        <b/>
        <sz val="9"/>
        <color rgb="FFC0504D"/>
        <rFont val="Arial"/>
        <family val="2"/>
      </rPr>
      <t xml:space="preserve">Challenges  </t>
    </r>
    <r>
      <rPr>
        <b/>
        <sz val="9"/>
        <color rgb="FF808080"/>
        <rFont val="Arial"/>
        <family val="2"/>
      </rPr>
      <t>Not started</t>
    </r>
  </si>
  <si>
    <t>Objective</t>
  </si>
  <si>
    <t>&lt;Insert the objective of the activity&gt;</t>
  </si>
  <si>
    <t>Progress</t>
  </si>
  <si>
    <t>Outputs created</t>
  </si>
  <si>
    <t>Activity</t>
  </si>
  <si>
    <t>Initial client consultation and needs assessment</t>
  </si>
  <si>
    <t>Confirmation of project objectives and client expectations</t>
  </si>
  <si>
    <t>Collection of website content and business information</t>
  </si>
  <si>
    <t>Delivery of Training Sessions</t>
  </si>
  <si>
    <t>Review of initial client feedback and approval of homepage</t>
  </si>
  <si>
    <t>Completion of full website design</t>
  </si>
  <si>
    <t>Definition of managed email services structure</t>
  </si>
  <si>
    <t>Update of proposal, agreement and SLA based by client request</t>
  </si>
  <si>
    <t>Development of the detailed schedule for website build</t>
  </si>
  <si>
    <t>Internal role allocation and content planning completion of website</t>
  </si>
  <si>
    <t>Components of website development</t>
  </si>
  <si>
    <t>Configuration and deployment of managed email services</t>
  </si>
  <si>
    <t>Stakeholder review meetings</t>
  </si>
  <si>
    <t>Corrections and system refinements</t>
  </si>
  <si>
    <t>Website launch and activation of email services</t>
  </si>
  <si>
    <t>Delivery of final documentation and support materials</t>
  </si>
  <si>
    <t>Handover and project close-out</t>
  </si>
  <si>
    <t>REFERENCE TABLE</t>
  </si>
  <si>
    <t>Achieved</t>
  </si>
  <si>
    <t>In progress</t>
  </si>
  <si>
    <t>To identify issues with the current website, the need for an upgrade, and the requirements for improved email communication systems as outlined by Paul Burns.</t>
  </si>
  <si>
    <t>To define the initial project scope, including a simple website build, one year of managed email services, and six months of website maintenance.</t>
  </si>
  <si>
    <t>phase 1 - week 0</t>
  </si>
  <si>
    <t>To gather text, images and business resources from the client and the Administration Assistants to support the structure and content of the new website.</t>
  </si>
  <si>
    <t>phase 2 week 1-2</t>
  </si>
  <si>
    <t>To provide initial training to the administrative staff and assess their capability to maintain the website as originally requested by the client.</t>
  </si>
  <si>
    <t>To incorporate early feedback from the client and confirm that the homepage design meets expectations before advancing with the remaining pages.</t>
  </si>
  <si>
    <t>To finalise the full website layout, content structure and initial visual design.</t>
  </si>
  <si>
    <t>To design the architecture of the managed email service using elements from previous similar projects to accelerate delivery.</t>
  </si>
  <si>
    <t>phase 3 week 3-4</t>
  </si>
  <si>
    <t>To reflect the client’s request for IT Biz Solutions to manage the website for the next six months and to remove staff training as an operational requirement.</t>
  </si>
  <si>
    <t>phase 4 week 5</t>
  </si>
  <si>
    <t>To establish the sequence of activities and timeframe required to deliver the website within the agreed deadlines.</t>
  </si>
  <si>
    <t>To confirm team responsibilities and finalise content preparation before commencing the development phase.</t>
  </si>
  <si>
    <t>To fully build the website according to the approved structure and design.</t>
  </si>
  <si>
    <t>To implement the managed email system, leveraging efficiencies from previous project configurations.</t>
  </si>
  <si>
    <t>Prototype reviews with the client</t>
  </si>
  <si>
    <t>To validate the functionality and layout of the website and email system with the client before proceeding to testing.</t>
  </si>
  <si>
    <t>phase 5 week 6-8</t>
  </si>
  <si>
    <t>Functional and compatibility testing</t>
  </si>
  <si>
    <t>To ensure the website and email system operate correctly across different devices and environments.</t>
  </si>
  <si>
    <t>phase 6 week 9-10</t>
  </si>
  <si>
    <t>To gather formal feedback from the client and internal stakeholders and identify any changes required.</t>
  </si>
  <si>
    <t>To apply improvements and resolve issues prior to the final handover.</t>
  </si>
  <si>
    <t>To deploy the website and activate the managed email service for operational use.</t>
  </si>
  <si>
    <t>phase 7 week 11-12</t>
  </si>
  <si>
    <t>To provide manuals, credentials, configurations, and all final project documentation.</t>
  </si>
  <si>
    <t>To formally transfer ownership of the deliverables to the client, complete administrative tasks, and close the project.</t>
  </si>
  <si>
    <t>Challenges</t>
  </si>
  <si>
    <t>The administrative assistants, who help gather information and were originally going to maintain the website, are overloaded. As a result, the process of obtaining the graphics is experiencing delays; however, the overall progress of the project is on schedule.</t>
  </si>
  <si>
    <t>No action has been initiated; the client is expected to catch up on this activity.</t>
  </si>
  <si>
    <t>Development progress is going well; the home page received client approval.</t>
  </si>
  <si>
    <t>The team designated by the team is focused on the tasks of collecting images for the activity of Collection of website content and business information</t>
  </si>
  <si>
    <t>phase 1 to phase 3 - week 0 - 4</t>
  </si>
  <si>
    <t>Four sessions were billed and the SLA was updated. Website maintenance service was added, which has a duration of six months.</t>
  </si>
  <si>
    <t>4 out of 8 sessions were completed. The client requested changes to the agreement</t>
  </si>
  <si>
    <t>Draft proposal, agreement and SLA</t>
  </si>
  <si>
    <t>Versions 1.0 of the proposal, agreement, and SLA updates were completed. They were reviewed and approved by the client.</t>
  </si>
  <si>
    <t>The client agreed to start the project</t>
  </si>
  <si>
    <t>The "Staff training" service has been completed and the "Website maintenance" service has been added. The agreement and SLA have been updated and sent to the client. The client has been billed for the training sessions conducted.</t>
  </si>
  <si>
    <t>The client requested to terminate the "Staff training" service due to work overload, so website maintenance will be handled by us through the "website maintenance" service for 6 months.</t>
  </si>
  <si>
    <t>Not started</t>
  </si>
  <si>
    <t>phase 3 to phase 7 week 3-12</t>
  </si>
  <si>
    <t>Weekly project status reviews with stakeholders address the most important issues for project progress. A survey is also conducted every eight weeks to evaluate the quality of our services.</t>
  </si>
  <si>
    <t>We received feedback from the first survey, and the overall survey results indicate that our customers' perception is between good and excellent.</t>
  </si>
  <si>
    <t>The full website design package was finalised, including page structure, content layout, and visual wireframes. This allowed the project to move into the planning and development phases.</t>
  </si>
  <si>
    <t>The email service structure was fully defined, enabling configuration work to begin in Phase 5. This structure was incorporated into the updated SLA.</t>
  </si>
  <si>
    <t>A comprehensive build schedule was delivered and approved by stakeholders, providing clear timelines for development, prototyping, testing, and implementation.</t>
  </si>
  <si>
    <t>CMS roles were assigned, and all content requirements were finalised. This ensured the team was prepared for full development in Phase 5.</t>
  </si>
  <si>
    <t>Development of all website pages is underway. Updates to the proposal, agreement and SLA were completed to reflect the removal of training services and the addition of a 6-month maintenance service.</t>
  </si>
  <si>
    <t>Initial configuration has been completed and tested. Final deployment will occur during implementation (Weeks 11–12).</t>
  </si>
  <si>
    <t>First website prototypes were presented to the client for review and refinement. Feedback is being implemented progressively during development.</t>
  </si>
  <si>
    <t>A background investigation was conducted to understand the client's needs.
The client's needs were analyzed, and the most suitable services were selected.
The client's existing Service Level Agreements (SLAs) were reviewed.
A proposal was submitted to the client outlining the selected services.
A detailed cost estimate was presented.
Finally, a timeline was created with the project schedule.</t>
  </si>
  <si>
    <t>A profile was created based on the client's background and SLAs.
A service package tailored to the client was developed.
An agreement was sent to the client.
A timeline with the activity schedule was 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</si>
</sst>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_-&quot;$&quot;* #,##0_-;\-&quot;$&quot;* #,##0_-;_-&quot;$&quot;* &quot;-&quot;??_-;_-@_-"/>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theme="1"/>
      <name val="Arial"/>
      <family val="2"/>
    </font>
    <font>
      <sz val="9"/>
      <color rgb="FF000000"/>
      <name val="Arial"/>
      <family val="2"/>
    </font>
    <font>
      <b/>
      <sz val="9"/>
      <color rgb="FF76923C"/>
      <name val="Arial"/>
      <family val="2"/>
    </font>
    <font>
      <b/>
      <sz val="9"/>
      <color rgb="FFFFC000"/>
      <name val="Arial"/>
      <family val="2"/>
    </font>
    <font>
      <b/>
      <sz val="9"/>
      <color rgb="FFC0504D"/>
      <name val="Arial"/>
      <family val="2"/>
    </font>
    <font>
      <b/>
      <sz val="9"/>
      <color rgb="FF808080"/>
      <name val="Arial"/>
      <family val="2"/>
    </font>
    <font>
      <i/>
      <sz val="9"/>
      <color theme="1"/>
      <name val="Arial"/>
      <family val="2"/>
    </font>
    <font>
      <b/>
      <sz val="9"/>
      <name val="Arial"/>
      <family val="2"/>
    </font>
    <font>
      <b/>
      <sz val="9"/>
      <color rgb="FFFF0000"/>
      <name val="Arial"/>
      <family val="2"/>
    </font>
  </fonts>
  <fills count="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rgb="FFD9D9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7F7F7F"/>
      </left>
      <right style="medium">
        <color rgb="FF7F7F7F"/>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style="medium">
        <color rgb="FF7F7F7F"/>
      </left>
      <right style="medium">
        <color rgb="FF7F7F7F"/>
      </right>
      <top style="medium">
        <color rgb="FF7F7F7F"/>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2" fillId="0" borderId="0" xfId="0" applyFont="1"/>
    <xf numFmtId="0" fontId="0" fillId="0" borderId="1" xfId="0" applyBorder="1"/>
    <xf numFmtId="164" fontId="0" fillId="0" borderId="1" xfId="1" applyNumberFormat="1" applyFont="1" applyBorder="1"/>
    <xf numFmtId="0" fontId="2" fillId="2" borderId="0" xfId="0" applyFont="1" applyFill="1"/>
    <xf numFmtId="164" fontId="2" fillId="2" borderId="0" xfId="0" applyNumberFormat="1" applyFont="1" applyFill="1"/>
    <xf numFmtId="0" fontId="2" fillId="3" borderId="1" xfId="0" applyFont="1" applyFill="1" applyBorder="1"/>
    <xf numFmtId="0" fontId="0" fillId="0" borderId="0" xfId="0" quotePrefix="1"/>
    <xf numFmtId="9" fontId="0" fillId="0" borderId="1" xfId="2" applyFont="1" applyBorder="1"/>
    <xf numFmtId="9" fontId="0" fillId="0" borderId="1" xfId="2" applyFont="1" applyFill="1" applyBorder="1"/>
    <xf numFmtId="0" fontId="4" fillId="4" borderId="2" xfId="0" applyFont="1" applyFill="1" applyBorder="1" applyAlignment="1">
      <alignment vertical="center" wrapText="1"/>
    </xf>
    <xf numFmtId="0" fontId="5" fillId="0" borderId="3" xfId="0" applyFont="1" applyBorder="1" applyAlignment="1">
      <alignment vertical="center" wrapText="1"/>
    </xf>
    <xf numFmtId="0" fontId="4" fillId="4" borderId="4" xfId="0" applyFont="1" applyFill="1" applyBorder="1" applyAlignment="1">
      <alignment vertical="center" wrapText="1"/>
    </xf>
    <xf numFmtId="0" fontId="3" fillId="0" borderId="5" xfId="0" applyFont="1" applyBorder="1" applyAlignment="1">
      <alignment vertical="center" wrapText="1"/>
    </xf>
    <xf numFmtId="0" fontId="9" fillId="0" borderId="6" xfId="0" applyFont="1" applyBorder="1" applyAlignment="1">
      <alignment vertical="center" wrapText="1"/>
    </xf>
    <xf numFmtId="0" fontId="9" fillId="0" borderId="5" xfId="0" applyFont="1" applyBorder="1" applyAlignment="1">
      <alignment vertical="center" wrapText="1"/>
    </xf>
    <xf numFmtId="0" fontId="4" fillId="4" borderId="7" xfId="0" applyFont="1" applyFill="1" applyBorder="1" applyAlignment="1">
      <alignment vertical="center" wrapText="1"/>
    </xf>
    <xf numFmtId="0" fontId="4" fillId="4" borderId="4" xfId="0" applyFont="1" applyFill="1" applyBorder="1" applyAlignment="1">
      <alignment vertical="center" wrapText="1"/>
    </xf>
    <xf numFmtId="0" fontId="10" fillId="0" borderId="3" xfId="0" applyFont="1" applyBorder="1" applyAlignment="1">
      <alignment vertical="center" wrapText="1"/>
    </xf>
    <xf numFmtId="0" fontId="6" fillId="0" borderId="3" xfId="0" applyFont="1" applyBorder="1" applyAlignment="1">
      <alignment vertical="center" wrapText="1"/>
    </xf>
    <xf numFmtId="0" fontId="11" fillId="0" borderId="3" xfId="0" applyFont="1" applyBorder="1" applyAlignment="1">
      <alignment vertical="center" wrapText="1"/>
    </xf>
    <xf numFmtId="0" fontId="8" fillId="0" borderId="3" xfId="0" applyFont="1" applyBorder="1" applyAlignment="1">
      <alignment vertical="center" wrapText="1"/>
    </xf>
    <xf numFmtId="0" fontId="3" fillId="2" borderId="5" xfId="0" applyFont="1" applyFill="1" applyBorder="1" applyAlignment="1">
      <alignment vertical="center" wrapText="1"/>
    </xf>
    <xf numFmtId="0" fontId="9" fillId="2" borderId="6" xfId="0" applyFont="1" applyFill="1" applyBorder="1" applyAlignment="1">
      <alignment vertical="center" wrapText="1"/>
    </xf>
    <xf numFmtId="0" fontId="9" fillId="2" borderId="5" xfId="0" applyFont="1" applyFill="1" applyBorder="1" applyAlignment="1">
      <alignment vertical="center" wrapText="1"/>
    </xf>
  </cellXfs>
  <cellStyles count="3">
    <cellStyle name="Currency" xfId="1" builtinId="4"/>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AU"/>
              <a:t>Project Progress - Grow Management Consultants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bar"/>
        <c:grouping val="clustered"/>
        <c:varyColors val="0"/>
        <c:ser>
          <c:idx val="0"/>
          <c:order val="0"/>
          <c:tx>
            <c:strRef>
              <c:f>Cost1!$F$12</c:f>
              <c:strCache>
                <c:ptCount val="1"/>
                <c:pt idx="0">
                  <c:v>progress</c:v>
                </c:pt>
              </c:strCache>
            </c:strRef>
          </c:tx>
          <c:spPr>
            <a:solidFill>
              <a:schemeClr val="accent1"/>
            </a:solidFill>
            <a:ln>
              <a:noFill/>
            </a:ln>
            <a:effectLst/>
          </c:spPr>
          <c:invertIfNegative val="0"/>
          <c:cat>
            <c:strRef>
              <c:f>Cost1!$A$13:$A$15</c:f>
              <c:strCache>
                <c:ptCount val="3"/>
                <c:pt idx="0">
                  <c:v>Simple Website construction</c:v>
                </c:pt>
                <c:pt idx="1">
                  <c:v>Staff training</c:v>
                </c:pt>
                <c:pt idx="2">
                  <c:v>Managed Email Services (1 year after project)</c:v>
                </c:pt>
              </c:strCache>
            </c:strRef>
          </c:cat>
          <c:val>
            <c:numRef>
              <c:f>Cost1!$F$13:$F$15</c:f>
              <c:numCache>
                <c:formatCode>0%</c:formatCode>
                <c:ptCount val="3"/>
                <c:pt idx="0">
                  <c:v>0.16</c:v>
                </c:pt>
                <c:pt idx="1">
                  <c:v>0.25</c:v>
                </c:pt>
                <c:pt idx="2">
                  <c:v>0.17</c:v>
                </c:pt>
              </c:numCache>
            </c:numRef>
          </c:val>
          <c:extLst>
            <c:ext xmlns:c16="http://schemas.microsoft.com/office/drawing/2014/chart" uri="{C3380CC4-5D6E-409C-BE32-E72D297353CC}">
              <c16:uniqueId val="{00000000-CB9A-419F-8E73-55DF994CEB28}"/>
            </c:ext>
          </c:extLst>
        </c:ser>
        <c:dLbls>
          <c:showLegendKey val="0"/>
          <c:showVal val="0"/>
          <c:showCatName val="0"/>
          <c:showSerName val="0"/>
          <c:showPercent val="0"/>
          <c:showBubbleSize val="0"/>
        </c:dLbls>
        <c:gapWidth val="269"/>
        <c:axId val="74146144"/>
        <c:axId val="74146624"/>
      </c:barChart>
      <c:catAx>
        <c:axId val="74146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4146624"/>
        <c:crosses val="autoZero"/>
        <c:auto val="1"/>
        <c:lblAlgn val="ctr"/>
        <c:lblOffset val="100"/>
        <c:noMultiLvlLbl val="0"/>
      </c:catAx>
      <c:valAx>
        <c:axId val="7414662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46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AU"/>
              <a:t>Project Progress - Grow Management Consultants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bar"/>
        <c:grouping val="clustered"/>
        <c:varyColors val="0"/>
        <c:ser>
          <c:idx val="0"/>
          <c:order val="0"/>
          <c:tx>
            <c:strRef>
              <c:f>Cost2!$F$1</c:f>
              <c:strCache>
                <c:ptCount val="1"/>
                <c:pt idx="0">
                  <c:v>progress</c:v>
                </c:pt>
              </c:strCache>
            </c:strRef>
          </c:tx>
          <c:spPr>
            <a:solidFill>
              <a:schemeClr val="accent1"/>
            </a:solidFill>
            <a:ln>
              <a:noFill/>
            </a:ln>
            <a:effectLst/>
          </c:spPr>
          <c:invertIfNegative val="0"/>
          <c:cat>
            <c:strRef>
              <c:f>Cost2!$A$2:$A$5</c:f>
              <c:strCache>
                <c:ptCount val="4"/>
                <c:pt idx="0">
                  <c:v>Simple Website construction</c:v>
                </c:pt>
                <c:pt idx="1">
                  <c:v>Website maintenance (6 months after project)</c:v>
                </c:pt>
                <c:pt idx="2">
                  <c:v>Managed Email Services (1 year after project)</c:v>
                </c:pt>
                <c:pt idx="3">
                  <c:v>Staff training (x4)</c:v>
                </c:pt>
              </c:strCache>
            </c:strRef>
          </c:cat>
          <c:val>
            <c:numRef>
              <c:f>Cost2!$F$2:$F$5</c:f>
              <c:numCache>
                <c:formatCode>0%</c:formatCode>
                <c:ptCount val="4"/>
                <c:pt idx="0">
                  <c:v>0.34</c:v>
                </c:pt>
                <c:pt idx="2">
                  <c:v>0.4</c:v>
                </c:pt>
                <c:pt idx="3">
                  <c:v>1</c:v>
                </c:pt>
              </c:numCache>
            </c:numRef>
          </c:val>
          <c:extLst>
            <c:ext xmlns:c16="http://schemas.microsoft.com/office/drawing/2014/chart" uri="{C3380CC4-5D6E-409C-BE32-E72D297353CC}">
              <c16:uniqueId val="{00000000-6E2B-4FB9-921D-E2DFA9E0B929}"/>
            </c:ext>
          </c:extLst>
        </c:ser>
        <c:dLbls>
          <c:showLegendKey val="0"/>
          <c:showVal val="0"/>
          <c:showCatName val="0"/>
          <c:showSerName val="0"/>
          <c:showPercent val="0"/>
          <c:showBubbleSize val="0"/>
        </c:dLbls>
        <c:gapWidth val="269"/>
        <c:axId val="177881920"/>
        <c:axId val="177882400"/>
      </c:barChart>
      <c:catAx>
        <c:axId val="177881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7882400"/>
        <c:crosses val="autoZero"/>
        <c:auto val="1"/>
        <c:lblAlgn val="ctr"/>
        <c:lblOffset val="100"/>
        <c:noMultiLvlLbl val="0"/>
      </c:catAx>
      <c:valAx>
        <c:axId val="177882400"/>
        <c:scaling>
          <c:orientation val="minMax"/>
          <c:max val="1"/>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81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548640</xdr:colOff>
      <xdr:row>5</xdr:row>
      <xdr:rowOff>19050</xdr:rowOff>
    </xdr:from>
    <xdr:to>
      <xdr:col>18</xdr:col>
      <xdr:colOff>7620</xdr:colOff>
      <xdr:row>20</xdr:row>
      <xdr:rowOff>19050</xdr:rowOff>
    </xdr:to>
    <xdr:graphicFrame macro="">
      <xdr:nvGraphicFramePr>
        <xdr:cNvPr id="2" name="Chart 1">
          <a:extLst>
            <a:ext uri="{FF2B5EF4-FFF2-40B4-BE49-F238E27FC236}">
              <a16:creationId xmlns:a16="http://schemas.microsoft.com/office/drawing/2014/main" id="{4C5EDDB9-E853-20D4-5504-43344075E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518160</xdr:colOff>
      <xdr:row>2</xdr:row>
      <xdr:rowOff>95250</xdr:rowOff>
    </xdr:from>
    <xdr:to>
      <xdr:col>17</xdr:col>
      <xdr:colOff>419100</xdr:colOff>
      <xdr:row>17</xdr:row>
      <xdr:rowOff>95250</xdr:rowOff>
    </xdr:to>
    <xdr:graphicFrame macro="">
      <xdr:nvGraphicFramePr>
        <xdr:cNvPr id="3" name="Chart 2">
          <a:extLst>
            <a:ext uri="{FF2B5EF4-FFF2-40B4-BE49-F238E27FC236}">
              <a16:creationId xmlns:a16="http://schemas.microsoft.com/office/drawing/2014/main" id="{AD985865-2594-7153-9A21-06D6FD44B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17D0F-CD16-40D5-AFB5-73A47210429A}">
  <dimension ref="A2:F17"/>
  <sheetViews>
    <sheetView workbookViewId="0">
      <selection activeCell="Q12" sqref="Q12"/>
    </sheetView>
  </sheetViews>
  <sheetFormatPr defaultRowHeight="14.4" x14ac:dyDescent="0.3"/>
  <cols>
    <col min="1" max="1" width="30" bestFit="1" customWidth="1"/>
    <col min="2" max="2" width="12.5546875" bestFit="1" customWidth="1"/>
    <col min="3" max="3" width="10.6640625" bestFit="1" customWidth="1"/>
    <col min="4" max="4" width="10.44140625" bestFit="1" customWidth="1"/>
  </cols>
  <sheetData>
    <row r="2" spans="1:6" x14ac:dyDescent="0.3">
      <c r="A2" t="s">
        <v>9</v>
      </c>
    </row>
    <row r="4" spans="1:6" x14ac:dyDescent="0.3">
      <c r="A4" t="s">
        <v>13</v>
      </c>
    </row>
    <row r="6" spans="1:6" x14ac:dyDescent="0.3">
      <c r="A6" s="7" t="s">
        <v>10</v>
      </c>
    </row>
    <row r="7" spans="1:6" x14ac:dyDescent="0.3">
      <c r="A7" s="7" t="s">
        <v>8</v>
      </c>
    </row>
    <row r="8" spans="1:6" x14ac:dyDescent="0.3">
      <c r="A8" s="7" t="s">
        <v>6</v>
      </c>
    </row>
    <row r="12" spans="1:6" x14ac:dyDescent="0.3">
      <c r="A12" s="6" t="s">
        <v>2</v>
      </c>
      <c r="B12" s="6" t="s">
        <v>3</v>
      </c>
      <c r="C12" s="6" t="s">
        <v>4</v>
      </c>
      <c r="D12" s="6" t="s">
        <v>5</v>
      </c>
      <c r="E12" s="1"/>
      <c r="F12" s="6" t="s">
        <v>12</v>
      </c>
    </row>
    <row r="13" spans="1:6" x14ac:dyDescent="0.3">
      <c r="A13" s="2" t="s">
        <v>0</v>
      </c>
      <c r="B13" s="3">
        <v>5000</v>
      </c>
      <c r="C13" s="3">
        <v>0</v>
      </c>
      <c r="D13" s="3">
        <v>0</v>
      </c>
      <c r="F13" s="8">
        <v>0.16</v>
      </c>
    </row>
    <row r="14" spans="1:6" x14ac:dyDescent="0.3">
      <c r="A14" s="2" t="s">
        <v>1</v>
      </c>
      <c r="B14" s="3">
        <v>600</v>
      </c>
      <c r="C14" s="3">
        <v>0</v>
      </c>
      <c r="D14" s="3">
        <v>0</v>
      </c>
      <c r="F14" s="9">
        <v>0.25</v>
      </c>
    </row>
    <row r="15" spans="1:6" x14ac:dyDescent="0.3">
      <c r="A15" s="2" t="s">
        <v>14</v>
      </c>
      <c r="B15" s="3">
        <v>1600</v>
      </c>
      <c r="C15" s="3">
        <v>200</v>
      </c>
      <c r="D15" s="3">
        <f>C15*12</f>
        <v>2400</v>
      </c>
      <c r="F15" s="8">
        <v>0.17</v>
      </c>
    </row>
    <row r="17" spans="1:2" x14ac:dyDescent="0.3">
      <c r="A17" s="4" t="s">
        <v>7</v>
      </c>
      <c r="B17" s="5">
        <f>SUM(B13:B15)+SUM(D13:D15)</f>
        <v>9600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60522-F2CF-4C48-9528-E963C5ADE2C7}">
  <dimension ref="A1:F7"/>
  <sheetViews>
    <sheetView workbookViewId="0">
      <selection activeCell="C22" sqref="C22"/>
    </sheetView>
  </sheetViews>
  <sheetFormatPr defaultRowHeight="14.4" x14ac:dyDescent="0.3"/>
  <cols>
    <col min="1" max="1" width="27.6640625" bestFit="1" customWidth="1"/>
    <col min="2" max="2" width="9" bestFit="1" customWidth="1"/>
    <col min="3" max="3" width="10.88671875" bestFit="1" customWidth="1"/>
    <col min="4" max="4" width="11.5546875" bestFit="1" customWidth="1"/>
  </cols>
  <sheetData>
    <row r="1" spans="1:6" x14ac:dyDescent="0.3">
      <c r="A1" s="6" t="s">
        <v>2</v>
      </c>
      <c r="B1" s="6" t="s">
        <v>3</v>
      </c>
      <c r="C1" s="6" t="s">
        <v>4</v>
      </c>
      <c r="D1" s="6" t="s">
        <v>5</v>
      </c>
      <c r="F1" s="6" t="s">
        <v>12</v>
      </c>
    </row>
    <row r="2" spans="1:6" x14ac:dyDescent="0.3">
      <c r="A2" s="2" t="s">
        <v>0</v>
      </c>
      <c r="B2" s="3">
        <v>5000</v>
      </c>
      <c r="C2" s="3">
        <v>0</v>
      </c>
      <c r="D2" s="3">
        <v>0</v>
      </c>
      <c r="F2" s="8">
        <v>0.34</v>
      </c>
    </row>
    <row r="3" spans="1:6" x14ac:dyDescent="0.3">
      <c r="A3" s="2" t="s">
        <v>15</v>
      </c>
      <c r="B3" s="3">
        <v>0</v>
      </c>
      <c r="C3" s="3">
        <v>400</v>
      </c>
      <c r="D3" s="3">
        <f>C3*6</f>
        <v>2400</v>
      </c>
      <c r="F3" s="9"/>
    </row>
    <row r="4" spans="1:6" x14ac:dyDescent="0.3">
      <c r="A4" s="2" t="s">
        <v>14</v>
      </c>
      <c r="B4" s="3">
        <v>1600</v>
      </c>
      <c r="C4" s="3">
        <v>200</v>
      </c>
      <c r="D4" s="3">
        <f>C4*12</f>
        <v>2400</v>
      </c>
      <c r="F4" s="8">
        <v>0.4</v>
      </c>
    </row>
    <row r="5" spans="1:6" x14ac:dyDescent="0.3">
      <c r="A5" s="2" t="s">
        <v>11</v>
      </c>
      <c r="B5" s="3">
        <v>0</v>
      </c>
      <c r="C5" s="3">
        <v>300</v>
      </c>
      <c r="D5" s="3">
        <f>C5</f>
        <v>300</v>
      </c>
      <c r="F5" s="8">
        <v>1</v>
      </c>
    </row>
    <row r="7" spans="1:6" x14ac:dyDescent="0.3">
      <c r="A7" s="4" t="s">
        <v>7</v>
      </c>
      <c r="B7" s="5">
        <f>SUM(B2:B5)+SUM(D2:D5)</f>
        <v>11700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B33CA-A63E-4CA0-AFE0-F3322092FD86}">
  <dimension ref="A1:B169"/>
  <sheetViews>
    <sheetView tabSelected="1" topLeftCell="A160" zoomScaleNormal="100" workbookViewId="0">
      <selection activeCell="B120" sqref="B120"/>
    </sheetView>
  </sheetViews>
  <sheetFormatPr defaultRowHeight="14.4" x14ac:dyDescent="0.3"/>
  <cols>
    <col min="1" max="1" width="12.44140625" bestFit="1" customWidth="1"/>
    <col min="2" max="2" width="70" customWidth="1"/>
  </cols>
  <sheetData>
    <row r="1" spans="1:2" ht="15" thickBot="1" x14ac:dyDescent="0.35">
      <c r="A1" s="10" t="s">
        <v>22</v>
      </c>
      <c r="B1" s="11" t="s">
        <v>40</v>
      </c>
    </row>
    <row r="2" spans="1:2" ht="15" thickBot="1" x14ac:dyDescent="0.35">
      <c r="A2" s="10" t="s">
        <v>16</v>
      </c>
      <c r="B2" s="11" t="s">
        <v>17</v>
      </c>
    </row>
    <row r="3" spans="1:2" ht="15" thickBot="1" x14ac:dyDescent="0.35">
      <c r="A3" s="12" t="s">
        <v>18</v>
      </c>
      <c r="B3" s="13" t="s">
        <v>19</v>
      </c>
    </row>
    <row r="4" spans="1:2" x14ac:dyDescent="0.3">
      <c r="A4" s="16" t="s">
        <v>22</v>
      </c>
      <c r="B4" s="14"/>
    </row>
    <row r="5" spans="1:2" ht="15" thickBot="1" x14ac:dyDescent="0.35">
      <c r="A5" s="17"/>
      <c r="B5" s="15"/>
    </row>
    <row r="6" spans="1:2" ht="15" thickBot="1" x14ac:dyDescent="0.35">
      <c r="A6" s="12" t="s">
        <v>20</v>
      </c>
      <c r="B6" s="13"/>
    </row>
    <row r="7" spans="1:2" ht="15" thickBot="1" x14ac:dyDescent="0.35">
      <c r="A7" s="12" t="s">
        <v>21</v>
      </c>
      <c r="B7" s="13"/>
    </row>
    <row r="10" spans="1:2" ht="15" thickBot="1" x14ac:dyDescent="0.35"/>
    <row r="11" spans="1:2" ht="15" thickBot="1" x14ac:dyDescent="0.35">
      <c r="A11" s="10" t="s">
        <v>22</v>
      </c>
      <c r="B11" s="18" t="s">
        <v>23</v>
      </c>
    </row>
    <row r="12" spans="1:2" ht="15" thickBot="1" x14ac:dyDescent="0.35">
      <c r="A12" s="10" t="s">
        <v>16</v>
      </c>
      <c r="B12" s="11" t="s">
        <v>41</v>
      </c>
    </row>
    <row r="13" spans="1:2" ht="23.4" thickBot="1" x14ac:dyDescent="0.35">
      <c r="A13" s="12" t="s">
        <v>18</v>
      </c>
      <c r="B13" s="13" t="s">
        <v>43</v>
      </c>
    </row>
    <row r="14" spans="1:2" ht="125.4" x14ac:dyDescent="0.3">
      <c r="A14" s="16" t="s">
        <v>22</v>
      </c>
      <c r="B14" s="14" t="s">
        <v>95</v>
      </c>
    </row>
    <row r="15" spans="1:2" ht="15" thickBot="1" x14ac:dyDescent="0.35">
      <c r="A15" s="17"/>
      <c r="B15" s="15"/>
    </row>
    <row r="16" spans="1:2" ht="15" thickBot="1" x14ac:dyDescent="0.35">
      <c r="A16" s="12" t="s">
        <v>20</v>
      </c>
      <c r="B16" s="13" t="s">
        <v>45</v>
      </c>
    </row>
    <row r="17" spans="1:2" ht="80.400000000000006" thickBot="1" x14ac:dyDescent="0.35">
      <c r="A17" s="12" t="s">
        <v>21</v>
      </c>
      <c r="B17" s="13" t="s">
        <v>96</v>
      </c>
    </row>
    <row r="18" spans="1:2" ht="15" thickBot="1" x14ac:dyDescent="0.35"/>
    <row r="19" spans="1:2" ht="15" thickBot="1" x14ac:dyDescent="0.35">
      <c r="A19" s="10" t="s">
        <v>22</v>
      </c>
      <c r="B19" s="18" t="s">
        <v>79</v>
      </c>
    </row>
    <row r="20" spans="1:2" ht="15" thickBot="1" x14ac:dyDescent="0.35">
      <c r="A20" s="10" t="s">
        <v>16</v>
      </c>
      <c r="B20" s="11" t="s">
        <v>41</v>
      </c>
    </row>
    <row r="21" spans="1:2" ht="23.4" thickBot="1" x14ac:dyDescent="0.35">
      <c r="A21" s="12" t="s">
        <v>18</v>
      </c>
      <c r="B21" s="13" t="s">
        <v>44</v>
      </c>
    </row>
    <row r="22" spans="1:2" ht="22.8" x14ac:dyDescent="0.3">
      <c r="A22" s="16" t="s">
        <v>22</v>
      </c>
      <c r="B22" s="14" t="s">
        <v>80</v>
      </c>
    </row>
    <row r="23" spans="1:2" ht="15" thickBot="1" x14ac:dyDescent="0.35">
      <c r="A23" s="17"/>
      <c r="B23" s="15"/>
    </row>
    <row r="24" spans="1:2" ht="15" thickBot="1" x14ac:dyDescent="0.35">
      <c r="A24" s="12" t="s">
        <v>20</v>
      </c>
      <c r="B24" s="13" t="s">
        <v>45</v>
      </c>
    </row>
    <row r="25" spans="1:2" ht="15" thickBot="1" x14ac:dyDescent="0.35">
      <c r="A25" s="12" t="s">
        <v>21</v>
      </c>
      <c r="B25" s="13" t="s">
        <v>81</v>
      </c>
    </row>
    <row r="26" spans="1:2" ht="15" thickBot="1" x14ac:dyDescent="0.35"/>
    <row r="27" spans="1:2" ht="15" thickBot="1" x14ac:dyDescent="0.35">
      <c r="A27" s="10" t="s">
        <v>22</v>
      </c>
      <c r="B27" s="18" t="s">
        <v>24</v>
      </c>
    </row>
    <row r="28" spans="1:2" ht="15" thickBot="1" x14ac:dyDescent="0.35">
      <c r="A28" s="10" t="s">
        <v>16</v>
      </c>
      <c r="B28" s="11" t="s">
        <v>41</v>
      </c>
    </row>
    <row r="29" spans="1:2" ht="15" thickBot="1" x14ac:dyDescent="0.35">
      <c r="A29" s="12" t="s">
        <v>18</v>
      </c>
      <c r="B29" s="22"/>
    </row>
    <row r="30" spans="1:2" x14ac:dyDescent="0.3">
      <c r="A30" s="16" t="s">
        <v>22</v>
      </c>
      <c r="B30" s="23"/>
    </row>
    <row r="31" spans="1:2" ht="15" thickBot="1" x14ac:dyDescent="0.35">
      <c r="A31" s="17"/>
      <c r="B31" s="24"/>
    </row>
    <row r="32" spans="1:2" ht="15" thickBot="1" x14ac:dyDescent="0.35">
      <c r="A32" s="12" t="s">
        <v>20</v>
      </c>
      <c r="B32" s="13" t="s">
        <v>45</v>
      </c>
    </row>
    <row r="33" spans="1:2" ht="15" thickBot="1" x14ac:dyDescent="0.35">
      <c r="A33" s="12" t="s">
        <v>21</v>
      </c>
      <c r="B33" s="22"/>
    </row>
    <row r="34" spans="1:2" ht="15" thickBot="1" x14ac:dyDescent="0.35"/>
    <row r="35" spans="1:2" ht="15" thickBot="1" x14ac:dyDescent="0.35">
      <c r="A35" s="10" t="s">
        <v>22</v>
      </c>
      <c r="B35" s="18" t="s">
        <v>25</v>
      </c>
    </row>
    <row r="36" spans="1:2" ht="15" thickBot="1" x14ac:dyDescent="0.35">
      <c r="A36" s="10" t="s">
        <v>16</v>
      </c>
      <c r="B36" s="20" t="s">
        <v>71</v>
      </c>
    </row>
    <row r="37" spans="1:2" ht="23.4" thickBot="1" x14ac:dyDescent="0.35">
      <c r="A37" s="12" t="s">
        <v>18</v>
      </c>
      <c r="B37" s="13" t="s">
        <v>46</v>
      </c>
    </row>
    <row r="38" spans="1:2" x14ac:dyDescent="0.3">
      <c r="A38" s="16" t="s">
        <v>22</v>
      </c>
      <c r="B38" s="14" t="s">
        <v>47</v>
      </c>
    </row>
    <row r="39" spans="1:2" ht="15" thickBot="1" x14ac:dyDescent="0.35">
      <c r="A39" s="17"/>
      <c r="B39" s="15"/>
    </row>
    <row r="40" spans="1:2" ht="34.799999999999997" thickBot="1" x14ac:dyDescent="0.35">
      <c r="A40" s="12" t="s">
        <v>20</v>
      </c>
      <c r="B40" s="13" t="s">
        <v>72</v>
      </c>
    </row>
    <row r="41" spans="1:2" ht="15" thickBot="1" x14ac:dyDescent="0.35">
      <c r="A41" s="12" t="s">
        <v>21</v>
      </c>
      <c r="B41" s="13" t="s">
        <v>73</v>
      </c>
    </row>
    <row r="42" spans="1:2" ht="15" thickBot="1" x14ac:dyDescent="0.35"/>
    <row r="43" spans="1:2" ht="15" thickBot="1" x14ac:dyDescent="0.35">
      <c r="A43" s="10" t="s">
        <v>22</v>
      </c>
      <c r="B43" s="18" t="s">
        <v>26</v>
      </c>
    </row>
    <row r="44" spans="1:2" ht="15" thickBot="1" x14ac:dyDescent="0.35">
      <c r="A44" s="10" t="s">
        <v>16</v>
      </c>
      <c r="B44" s="11" t="s">
        <v>41</v>
      </c>
    </row>
    <row r="45" spans="1:2" ht="23.4" thickBot="1" x14ac:dyDescent="0.35">
      <c r="A45" s="12" t="s">
        <v>18</v>
      </c>
      <c r="B45" s="13" t="s">
        <v>48</v>
      </c>
    </row>
    <row r="46" spans="1:2" x14ac:dyDescent="0.3">
      <c r="A46" s="16" t="s">
        <v>22</v>
      </c>
      <c r="B46" s="14" t="s">
        <v>76</v>
      </c>
    </row>
    <row r="47" spans="1:2" ht="15" thickBot="1" x14ac:dyDescent="0.35">
      <c r="A47" s="17"/>
      <c r="B47" s="15"/>
    </row>
    <row r="48" spans="1:2" ht="15" thickBot="1" x14ac:dyDescent="0.35">
      <c r="A48" s="12" t="s">
        <v>20</v>
      </c>
      <c r="B48" s="13" t="s">
        <v>78</v>
      </c>
    </row>
    <row r="49" spans="1:2" ht="23.4" thickBot="1" x14ac:dyDescent="0.35">
      <c r="A49" s="12" t="s">
        <v>21</v>
      </c>
      <c r="B49" s="13" t="s">
        <v>77</v>
      </c>
    </row>
    <row r="50" spans="1:2" ht="15" thickBot="1" x14ac:dyDescent="0.35"/>
    <row r="51" spans="1:2" ht="15" thickBot="1" x14ac:dyDescent="0.35">
      <c r="A51" s="10" t="s">
        <v>22</v>
      </c>
      <c r="B51" s="18" t="s">
        <v>27</v>
      </c>
    </row>
    <row r="52" spans="1:2" ht="15" thickBot="1" x14ac:dyDescent="0.35">
      <c r="A52" s="10" t="s">
        <v>16</v>
      </c>
      <c r="B52" s="11" t="s">
        <v>41</v>
      </c>
    </row>
    <row r="53" spans="1:2" ht="23.4" thickBot="1" x14ac:dyDescent="0.35">
      <c r="A53" s="12" t="s">
        <v>18</v>
      </c>
      <c r="B53" s="13" t="s">
        <v>49</v>
      </c>
    </row>
    <row r="54" spans="1:2" x14ac:dyDescent="0.3">
      <c r="A54" s="16" t="s">
        <v>22</v>
      </c>
      <c r="B54" s="14" t="s">
        <v>47</v>
      </c>
    </row>
    <row r="55" spans="1:2" ht="15" thickBot="1" x14ac:dyDescent="0.35">
      <c r="A55" s="17"/>
      <c r="B55" s="15"/>
    </row>
    <row r="56" spans="1:2" ht="15" thickBot="1" x14ac:dyDescent="0.35">
      <c r="A56" s="12" t="s">
        <v>20</v>
      </c>
      <c r="B56" s="13" t="s">
        <v>74</v>
      </c>
    </row>
    <row r="57" spans="1:2" ht="23.4" thickBot="1" x14ac:dyDescent="0.35">
      <c r="A57" s="12" t="s">
        <v>21</v>
      </c>
      <c r="B57" s="13" t="s">
        <v>75</v>
      </c>
    </row>
    <row r="58" spans="1:2" ht="15" thickBot="1" x14ac:dyDescent="0.35"/>
    <row r="59" spans="1:2" ht="15" thickBot="1" x14ac:dyDescent="0.35">
      <c r="A59" s="10" t="s">
        <v>22</v>
      </c>
      <c r="B59" s="18" t="s">
        <v>28</v>
      </c>
    </row>
    <row r="60" spans="1:2" ht="15" thickBot="1" x14ac:dyDescent="0.35">
      <c r="A60" s="10" t="s">
        <v>16</v>
      </c>
      <c r="B60" s="11" t="s">
        <v>41</v>
      </c>
    </row>
    <row r="61" spans="1:2" ht="15" thickBot="1" x14ac:dyDescent="0.35">
      <c r="A61" s="12" t="s">
        <v>18</v>
      </c>
      <c r="B61" s="13" t="s">
        <v>50</v>
      </c>
    </row>
    <row r="62" spans="1:2" x14ac:dyDescent="0.3">
      <c r="A62" s="16" t="s">
        <v>22</v>
      </c>
      <c r="B62" s="14" t="s">
        <v>52</v>
      </c>
    </row>
    <row r="63" spans="1:2" ht="15" thickBot="1" x14ac:dyDescent="0.35">
      <c r="A63" s="17"/>
      <c r="B63" s="15"/>
    </row>
    <row r="64" spans="1:2" ht="15" thickBot="1" x14ac:dyDescent="0.35">
      <c r="A64" s="12" t="s">
        <v>20</v>
      </c>
      <c r="B64" s="22"/>
    </row>
    <row r="65" spans="1:2" ht="34.799999999999997" thickBot="1" x14ac:dyDescent="0.35">
      <c r="A65" s="12" t="s">
        <v>21</v>
      </c>
      <c r="B65" s="13" t="s">
        <v>88</v>
      </c>
    </row>
    <row r="66" spans="1:2" ht="15" thickBot="1" x14ac:dyDescent="0.35"/>
    <row r="67" spans="1:2" ht="15" thickBot="1" x14ac:dyDescent="0.35">
      <c r="A67" s="10" t="s">
        <v>22</v>
      </c>
      <c r="B67" s="18" t="s">
        <v>29</v>
      </c>
    </row>
    <row r="68" spans="1:2" ht="15" thickBot="1" x14ac:dyDescent="0.35">
      <c r="A68" s="10" t="s">
        <v>16</v>
      </c>
      <c r="B68" s="11" t="s">
        <v>41</v>
      </c>
    </row>
    <row r="69" spans="1:2" ht="23.4" thickBot="1" x14ac:dyDescent="0.35">
      <c r="A69" s="12" t="s">
        <v>18</v>
      </c>
      <c r="B69" s="13" t="s">
        <v>51</v>
      </c>
    </row>
    <row r="70" spans="1:2" x14ac:dyDescent="0.3">
      <c r="A70" s="16" t="s">
        <v>22</v>
      </c>
      <c r="B70" s="14" t="s">
        <v>52</v>
      </c>
    </row>
    <row r="71" spans="1:2" ht="15" thickBot="1" x14ac:dyDescent="0.35">
      <c r="A71" s="17"/>
      <c r="B71" s="15"/>
    </row>
    <row r="72" spans="1:2" ht="15" thickBot="1" x14ac:dyDescent="0.35">
      <c r="A72" s="12" t="s">
        <v>20</v>
      </c>
      <c r="B72" s="22"/>
    </row>
    <row r="73" spans="1:2" ht="23.4" thickBot="1" x14ac:dyDescent="0.35">
      <c r="A73" s="12" t="s">
        <v>21</v>
      </c>
      <c r="B73" s="13" t="s">
        <v>89</v>
      </c>
    </row>
    <row r="74" spans="1:2" ht="15" thickBot="1" x14ac:dyDescent="0.35"/>
    <row r="75" spans="1:2" ht="15" thickBot="1" x14ac:dyDescent="0.35">
      <c r="A75" s="10" t="s">
        <v>22</v>
      </c>
      <c r="B75" s="18" t="s">
        <v>31</v>
      </c>
    </row>
    <row r="76" spans="1:2" ht="15" thickBot="1" x14ac:dyDescent="0.35">
      <c r="A76" s="10" t="s">
        <v>16</v>
      </c>
      <c r="B76" s="11" t="s">
        <v>41</v>
      </c>
    </row>
    <row r="77" spans="1:2" ht="23.4" thickBot="1" x14ac:dyDescent="0.35">
      <c r="A77" s="12" t="s">
        <v>18</v>
      </c>
      <c r="B77" s="13" t="s">
        <v>55</v>
      </c>
    </row>
    <row r="78" spans="1:2" x14ac:dyDescent="0.3">
      <c r="A78" s="16" t="s">
        <v>22</v>
      </c>
      <c r="B78" s="14" t="s">
        <v>54</v>
      </c>
    </row>
    <row r="79" spans="1:2" ht="15" thickBot="1" x14ac:dyDescent="0.35">
      <c r="A79" s="17"/>
      <c r="B79" s="15"/>
    </row>
    <row r="80" spans="1:2" ht="15" thickBot="1" x14ac:dyDescent="0.35">
      <c r="A80" s="12" t="s">
        <v>20</v>
      </c>
      <c r="B80" s="22"/>
    </row>
    <row r="81" spans="1:2" ht="23.4" thickBot="1" x14ac:dyDescent="0.35">
      <c r="A81" s="12" t="s">
        <v>21</v>
      </c>
      <c r="B81" s="13" t="s">
        <v>90</v>
      </c>
    </row>
    <row r="82" spans="1:2" ht="15" thickBot="1" x14ac:dyDescent="0.35"/>
    <row r="83" spans="1:2" ht="15" thickBot="1" x14ac:dyDescent="0.35">
      <c r="A83" s="10" t="s">
        <v>22</v>
      </c>
      <c r="B83" s="18" t="s">
        <v>32</v>
      </c>
    </row>
    <row r="84" spans="1:2" ht="15" thickBot="1" x14ac:dyDescent="0.35">
      <c r="A84" s="10" t="s">
        <v>16</v>
      </c>
      <c r="B84" s="11" t="s">
        <v>41</v>
      </c>
    </row>
    <row r="85" spans="1:2" ht="23.4" thickBot="1" x14ac:dyDescent="0.35">
      <c r="A85" s="12" t="s">
        <v>18</v>
      </c>
      <c r="B85" s="13" t="s">
        <v>56</v>
      </c>
    </row>
    <row r="86" spans="1:2" x14ac:dyDescent="0.3">
      <c r="A86" s="16" t="s">
        <v>22</v>
      </c>
      <c r="B86" s="14" t="s">
        <v>54</v>
      </c>
    </row>
    <row r="87" spans="1:2" ht="15" thickBot="1" x14ac:dyDescent="0.35">
      <c r="A87" s="17"/>
      <c r="B87" s="15"/>
    </row>
    <row r="88" spans="1:2" ht="15" thickBot="1" x14ac:dyDescent="0.35">
      <c r="A88" s="12" t="s">
        <v>20</v>
      </c>
      <c r="B88" s="22"/>
    </row>
    <row r="89" spans="1:2" ht="23.4" thickBot="1" x14ac:dyDescent="0.35">
      <c r="A89" s="12" t="s">
        <v>21</v>
      </c>
      <c r="B89" s="13" t="s">
        <v>91</v>
      </c>
    </row>
    <row r="90" spans="1:2" ht="15" thickBot="1" x14ac:dyDescent="0.35"/>
    <row r="91" spans="1:2" ht="15" thickBot="1" x14ac:dyDescent="0.35">
      <c r="A91" s="10" t="s">
        <v>22</v>
      </c>
      <c r="B91" s="18" t="s">
        <v>30</v>
      </c>
    </row>
    <row r="92" spans="1:2" ht="15" thickBot="1" x14ac:dyDescent="0.35">
      <c r="A92" s="10" t="s">
        <v>16</v>
      </c>
      <c r="B92" s="11" t="s">
        <v>41</v>
      </c>
    </row>
    <row r="93" spans="1:2" ht="23.4" thickBot="1" x14ac:dyDescent="0.35">
      <c r="A93" s="12" t="s">
        <v>18</v>
      </c>
      <c r="B93" s="13" t="s">
        <v>53</v>
      </c>
    </row>
    <row r="94" spans="1:2" x14ac:dyDescent="0.3">
      <c r="A94" s="16" t="s">
        <v>22</v>
      </c>
      <c r="B94" s="14" t="s">
        <v>61</v>
      </c>
    </row>
    <row r="95" spans="1:2" ht="15" thickBot="1" x14ac:dyDescent="0.35">
      <c r="A95" s="17"/>
      <c r="B95" s="15"/>
    </row>
    <row r="96" spans="1:2" ht="23.4" thickBot="1" x14ac:dyDescent="0.35">
      <c r="A96" s="12" t="s">
        <v>20</v>
      </c>
      <c r="B96" s="13" t="s">
        <v>83</v>
      </c>
    </row>
    <row r="97" spans="1:2" ht="34.799999999999997" thickBot="1" x14ac:dyDescent="0.35">
      <c r="A97" s="12" t="s">
        <v>21</v>
      </c>
      <c r="B97" s="13" t="s">
        <v>82</v>
      </c>
    </row>
    <row r="98" spans="1:2" ht="15" thickBot="1" x14ac:dyDescent="0.35"/>
    <row r="99" spans="1:2" ht="15" thickBot="1" x14ac:dyDescent="0.35">
      <c r="A99" s="10" t="s">
        <v>22</v>
      </c>
      <c r="B99" s="18" t="s">
        <v>33</v>
      </c>
    </row>
    <row r="100" spans="1:2" ht="15" thickBot="1" x14ac:dyDescent="0.35">
      <c r="A100" s="10" t="s">
        <v>16</v>
      </c>
      <c r="B100" s="19" t="s">
        <v>42</v>
      </c>
    </row>
    <row r="101" spans="1:2" ht="15" thickBot="1" x14ac:dyDescent="0.35">
      <c r="A101" s="12" t="s">
        <v>18</v>
      </c>
      <c r="B101" s="13" t="s">
        <v>57</v>
      </c>
    </row>
    <row r="102" spans="1:2" x14ac:dyDescent="0.3">
      <c r="A102" s="16" t="s">
        <v>22</v>
      </c>
      <c r="B102" s="14" t="s">
        <v>61</v>
      </c>
    </row>
    <row r="103" spans="1:2" ht="15" thickBot="1" x14ac:dyDescent="0.35">
      <c r="A103" s="17"/>
      <c r="B103" s="15"/>
    </row>
    <row r="104" spans="1:2" ht="15" thickBot="1" x14ac:dyDescent="0.35">
      <c r="A104" s="12" t="s">
        <v>20</v>
      </c>
      <c r="B104" s="22"/>
    </row>
    <row r="105" spans="1:2" ht="34.799999999999997" thickBot="1" x14ac:dyDescent="0.35">
      <c r="A105" s="12" t="s">
        <v>21</v>
      </c>
      <c r="B105" s="13" t="s">
        <v>92</v>
      </c>
    </row>
    <row r="106" spans="1:2" ht="15" thickBot="1" x14ac:dyDescent="0.35"/>
    <row r="107" spans="1:2" ht="15" thickBot="1" x14ac:dyDescent="0.35">
      <c r="A107" s="10" t="s">
        <v>22</v>
      </c>
      <c r="B107" s="18" t="s">
        <v>34</v>
      </c>
    </row>
    <row r="108" spans="1:2" ht="15" thickBot="1" x14ac:dyDescent="0.35">
      <c r="A108" s="10" t="s">
        <v>16</v>
      </c>
      <c r="B108" s="19" t="s">
        <v>42</v>
      </c>
    </row>
    <row r="109" spans="1:2" ht="23.4" thickBot="1" x14ac:dyDescent="0.35">
      <c r="A109" s="12" t="s">
        <v>18</v>
      </c>
      <c r="B109" s="13" t="s">
        <v>58</v>
      </c>
    </row>
    <row r="110" spans="1:2" x14ac:dyDescent="0.3">
      <c r="A110" s="16" t="s">
        <v>22</v>
      </c>
      <c r="B110" s="14" t="s">
        <v>61</v>
      </c>
    </row>
    <row r="111" spans="1:2" ht="15" thickBot="1" x14ac:dyDescent="0.35">
      <c r="A111" s="17"/>
      <c r="B111" s="15"/>
    </row>
    <row r="112" spans="1:2" ht="15" thickBot="1" x14ac:dyDescent="0.35">
      <c r="A112" s="12" t="s">
        <v>20</v>
      </c>
      <c r="B112" s="22"/>
    </row>
    <row r="113" spans="1:2" ht="23.4" thickBot="1" x14ac:dyDescent="0.35">
      <c r="A113" s="12" t="s">
        <v>21</v>
      </c>
      <c r="B113" s="13" t="s">
        <v>93</v>
      </c>
    </row>
    <row r="114" spans="1:2" ht="15" thickBot="1" x14ac:dyDescent="0.35"/>
    <row r="115" spans="1:2" ht="15" thickBot="1" x14ac:dyDescent="0.35">
      <c r="A115" s="10" t="s">
        <v>22</v>
      </c>
      <c r="B115" s="18" t="s">
        <v>59</v>
      </c>
    </row>
    <row r="116" spans="1:2" ht="15" thickBot="1" x14ac:dyDescent="0.35">
      <c r="A116" s="10" t="s">
        <v>16</v>
      </c>
      <c r="B116" s="19" t="s">
        <v>42</v>
      </c>
    </row>
    <row r="117" spans="1:2" ht="23.4" thickBot="1" x14ac:dyDescent="0.35">
      <c r="A117" s="12" t="s">
        <v>18</v>
      </c>
      <c r="B117" s="13" t="s">
        <v>60</v>
      </c>
    </row>
    <row r="118" spans="1:2" x14ac:dyDescent="0.3">
      <c r="A118" s="16" t="s">
        <v>22</v>
      </c>
      <c r="B118" s="14" t="s">
        <v>61</v>
      </c>
    </row>
    <row r="119" spans="1:2" ht="15" thickBot="1" x14ac:dyDescent="0.35">
      <c r="A119" s="17"/>
      <c r="B119" s="15"/>
    </row>
    <row r="120" spans="1:2" ht="15" thickBot="1" x14ac:dyDescent="0.35">
      <c r="A120" s="12" t="s">
        <v>20</v>
      </c>
      <c r="B120" s="22"/>
    </row>
    <row r="121" spans="1:2" ht="23.4" thickBot="1" x14ac:dyDescent="0.35">
      <c r="A121" s="12" t="s">
        <v>21</v>
      </c>
      <c r="B121" s="13" t="s">
        <v>94</v>
      </c>
    </row>
    <row r="122" spans="1:2" ht="15" thickBot="1" x14ac:dyDescent="0.35"/>
    <row r="123" spans="1:2" ht="15" thickBot="1" x14ac:dyDescent="0.35">
      <c r="A123" s="10" t="s">
        <v>22</v>
      </c>
      <c r="B123" s="18" t="s">
        <v>62</v>
      </c>
    </row>
    <row r="124" spans="1:2" ht="15" thickBot="1" x14ac:dyDescent="0.35">
      <c r="A124" s="10" t="s">
        <v>16</v>
      </c>
      <c r="B124" s="21" t="s">
        <v>84</v>
      </c>
    </row>
    <row r="125" spans="1:2" ht="23.4" thickBot="1" x14ac:dyDescent="0.35">
      <c r="A125" s="12" t="s">
        <v>18</v>
      </c>
      <c r="B125" s="13" t="s">
        <v>63</v>
      </c>
    </row>
    <row r="126" spans="1:2" x14ac:dyDescent="0.3">
      <c r="A126" s="16" t="s">
        <v>22</v>
      </c>
      <c r="B126" s="14" t="s">
        <v>64</v>
      </c>
    </row>
    <row r="127" spans="1:2" ht="15" thickBot="1" x14ac:dyDescent="0.35">
      <c r="A127" s="17"/>
      <c r="B127" s="15"/>
    </row>
    <row r="128" spans="1:2" ht="15" thickBot="1" x14ac:dyDescent="0.35">
      <c r="A128" s="12" t="s">
        <v>20</v>
      </c>
      <c r="B128" s="13"/>
    </row>
    <row r="129" spans="1:2" ht="15" thickBot="1" x14ac:dyDescent="0.35">
      <c r="A129" s="12" t="s">
        <v>21</v>
      </c>
      <c r="B129" s="13"/>
    </row>
    <row r="130" spans="1:2" ht="15" thickBot="1" x14ac:dyDescent="0.35"/>
    <row r="131" spans="1:2" ht="15" thickBot="1" x14ac:dyDescent="0.35">
      <c r="A131" s="10" t="s">
        <v>22</v>
      </c>
      <c r="B131" s="18" t="s">
        <v>35</v>
      </c>
    </row>
    <row r="132" spans="1:2" ht="15" thickBot="1" x14ac:dyDescent="0.35">
      <c r="A132" s="10" t="s">
        <v>16</v>
      </c>
      <c r="B132" s="19" t="s">
        <v>42</v>
      </c>
    </row>
    <row r="133" spans="1:2" ht="23.4" thickBot="1" x14ac:dyDescent="0.35">
      <c r="A133" s="12" t="s">
        <v>18</v>
      </c>
      <c r="B133" s="13" t="s">
        <v>65</v>
      </c>
    </row>
    <row r="134" spans="1:2" x14ac:dyDescent="0.3">
      <c r="A134" s="16" t="s">
        <v>22</v>
      </c>
      <c r="B134" s="14" t="s">
        <v>85</v>
      </c>
    </row>
    <row r="135" spans="1:2" ht="15" thickBot="1" x14ac:dyDescent="0.35">
      <c r="A135" s="17"/>
      <c r="B135" s="15"/>
    </row>
    <row r="136" spans="1:2" ht="34.799999999999997" thickBot="1" x14ac:dyDescent="0.35">
      <c r="A136" s="12" t="s">
        <v>20</v>
      </c>
      <c r="B136" s="13" t="s">
        <v>86</v>
      </c>
    </row>
    <row r="137" spans="1:2" ht="23.4" thickBot="1" x14ac:dyDescent="0.35">
      <c r="A137" s="12" t="s">
        <v>21</v>
      </c>
      <c r="B137" s="13" t="s">
        <v>87</v>
      </c>
    </row>
    <row r="138" spans="1:2" ht="15" thickBot="1" x14ac:dyDescent="0.35"/>
    <row r="139" spans="1:2" ht="15" thickBot="1" x14ac:dyDescent="0.35">
      <c r="A139" s="10" t="s">
        <v>22</v>
      </c>
      <c r="B139" s="18" t="s">
        <v>36</v>
      </c>
    </row>
    <row r="140" spans="1:2" ht="15" thickBot="1" x14ac:dyDescent="0.35">
      <c r="A140" s="10" t="s">
        <v>16</v>
      </c>
      <c r="B140" s="21" t="s">
        <v>84</v>
      </c>
    </row>
    <row r="141" spans="1:2" ht="15" thickBot="1" x14ac:dyDescent="0.35">
      <c r="A141" s="12" t="s">
        <v>18</v>
      </c>
      <c r="B141" s="13" t="s">
        <v>66</v>
      </c>
    </row>
    <row r="142" spans="1:2" x14ac:dyDescent="0.3">
      <c r="A142" s="16" t="s">
        <v>22</v>
      </c>
      <c r="B142" s="14" t="s">
        <v>64</v>
      </c>
    </row>
    <row r="143" spans="1:2" ht="15" thickBot="1" x14ac:dyDescent="0.35">
      <c r="A143" s="17"/>
      <c r="B143" s="15"/>
    </row>
    <row r="144" spans="1:2" ht="15" thickBot="1" x14ac:dyDescent="0.35">
      <c r="A144" s="12" t="s">
        <v>20</v>
      </c>
      <c r="B144" s="13"/>
    </row>
    <row r="145" spans="1:2" ht="15" thickBot="1" x14ac:dyDescent="0.35">
      <c r="A145" s="12" t="s">
        <v>21</v>
      </c>
      <c r="B145" s="13"/>
    </row>
    <row r="146" spans="1:2" ht="15" thickBot="1" x14ac:dyDescent="0.35"/>
    <row r="147" spans="1:2" ht="15" thickBot="1" x14ac:dyDescent="0.35">
      <c r="A147" s="10" t="s">
        <v>22</v>
      </c>
      <c r="B147" s="18" t="s">
        <v>37</v>
      </c>
    </row>
    <row r="148" spans="1:2" ht="15" thickBot="1" x14ac:dyDescent="0.35">
      <c r="A148" s="10" t="s">
        <v>16</v>
      </c>
      <c r="B148" s="21" t="s">
        <v>84</v>
      </c>
    </row>
    <row r="149" spans="1:2" ht="15" thickBot="1" x14ac:dyDescent="0.35">
      <c r="A149" s="12" t="s">
        <v>18</v>
      </c>
      <c r="B149" s="13" t="s">
        <v>67</v>
      </c>
    </row>
    <row r="150" spans="1:2" x14ac:dyDescent="0.3">
      <c r="A150" s="16" t="s">
        <v>22</v>
      </c>
      <c r="B150" s="14" t="s">
        <v>68</v>
      </c>
    </row>
    <row r="151" spans="1:2" ht="15" thickBot="1" x14ac:dyDescent="0.35">
      <c r="A151" s="17"/>
      <c r="B151" s="15"/>
    </row>
    <row r="152" spans="1:2" ht="15" thickBot="1" x14ac:dyDescent="0.35">
      <c r="A152" s="12" t="s">
        <v>20</v>
      </c>
      <c r="B152" s="13"/>
    </row>
    <row r="153" spans="1:2" ht="15" thickBot="1" x14ac:dyDescent="0.35">
      <c r="A153" s="12" t="s">
        <v>21</v>
      </c>
      <c r="B153" s="13"/>
    </row>
    <row r="154" spans="1:2" ht="15" thickBot="1" x14ac:dyDescent="0.35"/>
    <row r="155" spans="1:2" ht="15" thickBot="1" x14ac:dyDescent="0.35">
      <c r="A155" s="10" t="s">
        <v>22</v>
      </c>
      <c r="B155" s="18" t="s">
        <v>38</v>
      </c>
    </row>
    <row r="156" spans="1:2" ht="15" thickBot="1" x14ac:dyDescent="0.35">
      <c r="A156" s="10" t="s">
        <v>16</v>
      </c>
      <c r="B156" s="21" t="s">
        <v>84</v>
      </c>
    </row>
    <row r="157" spans="1:2" ht="15" thickBot="1" x14ac:dyDescent="0.35">
      <c r="A157" s="12" t="s">
        <v>18</v>
      </c>
      <c r="B157" s="13" t="s">
        <v>69</v>
      </c>
    </row>
    <row r="158" spans="1:2" x14ac:dyDescent="0.3">
      <c r="A158" s="16" t="s">
        <v>22</v>
      </c>
      <c r="B158" s="14" t="s">
        <v>68</v>
      </c>
    </row>
    <row r="159" spans="1:2" ht="15" thickBot="1" x14ac:dyDescent="0.35">
      <c r="A159" s="17"/>
      <c r="B159" s="15"/>
    </row>
    <row r="160" spans="1:2" ht="15" thickBot="1" x14ac:dyDescent="0.35">
      <c r="A160" s="12" t="s">
        <v>20</v>
      </c>
      <c r="B160" s="13"/>
    </row>
    <row r="161" spans="1:2" ht="15" thickBot="1" x14ac:dyDescent="0.35">
      <c r="A161" s="12" t="s">
        <v>21</v>
      </c>
      <c r="B161" s="13"/>
    </row>
    <row r="162" spans="1:2" ht="15" thickBot="1" x14ac:dyDescent="0.35"/>
    <row r="163" spans="1:2" ht="15" thickBot="1" x14ac:dyDescent="0.35">
      <c r="A163" s="10" t="s">
        <v>22</v>
      </c>
      <c r="B163" s="18" t="s">
        <v>39</v>
      </c>
    </row>
    <row r="164" spans="1:2" ht="15" thickBot="1" x14ac:dyDescent="0.35">
      <c r="A164" s="10" t="s">
        <v>16</v>
      </c>
      <c r="B164" s="21" t="s">
        <v>84</v>
      </c>
    </row>
    <row r="165" spans="1:2" ht="23.4" thickBot="1" x14ac:dyDescent="0.35">
      <c r="A165" s="12" t="s">
        <v>18</v>
      </c>
      <c r="B165" s="13" t="s">
        <v>70</v>
      </c>
    </row>
    <row r="166" spans="1:2" x14ac:dyDescent="0.3">
      <c r="A166" s="16" t="s">
        <v>22</v>
      </c>
      <c r="B166" s="14" t="s">
        <v>68</v>
      </c>
    </row>
    <row r="167" spans="1:2" ht="15" thickBot="1" x14ac:dyDescent="0.35">
      <c r="A167" s="17"/>
      <c r="B167" s="15"/>
    </row>
    <row r="168" spans="1:2" ht="15" thickBot="1" x14ac:dyDescent="0.35">
      <c r="A168" s="12" t="s">
        <v>20</v>
      </c>
      <c r="B168" s="13"/>
    </row>
    <row r="169" spans="1:2" ht="15" thickBot="1" x14ac:dyDescent="0.35">
      <c r="A169" s="12" t="s">
        <v>21</v>
      </c>
      <c r="B169" s="13"/>
    </row>
  </sheetData>
  <mergeCells count="21">
    <mergeCell ref="A110:A111"/>
    <mergeCell ref="A134:A135"/>
    <mergeCell ref="A142:A143"/>
    <mergeCell ref="A150:A151"/>
    <mergeCell ref="A158:A159"/>
    <mergeCell ref="A166:A167"/>
    <mergeCell ref="A118:A119"/>
    <mergeCell ref="A126:A127"/>
    <mergeCell ref="A62:A63"/>
    <mergeCell ref="A70:A71"/>
    <mergeCell ref="A94:A95"/>
    <mergeCell ref="A78:A79"/>
    <mergeCell ref="A86:A87"/>
    <mergeCell ref="A102:A103"/>
    <mergeCell ref="A22:A23"/>
    <mergeCell ref="A30:A31"/>
    <mergeCell ref="A38:A39"/>
    <mergeCell ref="A46:A47"/>
    <mergeCell ref="A54:A55"/>
    <mergeCell ref="A4:A5"/>
    <mergeCell ref="A14:A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Cost1</vt:lpstr>
      <vt:lpstr>Cost2</vt:lpstr>
      <vt:lpstr>activities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PEREZ ESPITIA MANUEL SERGIO</dc:creator>
  <cp:lastModifiedBy>PEREZ ESPITIA MANUEL SERGIO</cp:lastModifiedBy>
  <dcterms:created xsi:type="dcterms:W3CDTF">2025-11-14T01:09:30Z</dcterms:created>
  <dcterms:modified xsi:type="dcterms:W3CDTF">2025-11-16T13:53:22Z</dcterms:modified>
</cp:coreProperties>
</file>